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ireeshacharyaa/Desktop/ABHI/"/>
    </mc:Choice>
  </mc:AlternateContent>
  <xr:revisionPtr revIDLastSave="0" documentId="13_ncr:1_{6DF9F6AC-11E1-0242-870D-6398E2E6B075}" xr6:coauthVersionLast="47" xr6:coauthVersionMax="47" xr10:uidLastSave="{00000000-0000-0000-0000-000000000000}"/>
  <bookViews>
    <workbookView xWindow="0" yWindow="740" windowWidth="29400" windowHeight="17140" xr2:uid="{8CC02010-A849-D049-AAFA-0DE2BD2FF67D}"/>
  </bookViews>
  <sheets>
    <sheet name="Guyton Kli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14" i="1"/>
  <c r="C56" i="1" l="1"/>
  <c r="D56" i="1"/>
  <c r="B13" i="1" l="1"/>
  <c r="E1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L13" i="1"/>
  <c r="H13" i="1"/>
  <c r="G13" i="1"/>
  <c r="I13" i="1" l="1"/>
  <c r="E14" i="1" s="1"/>
  <c r="F14" i="1" s="1"/>
  <c r="J13" i="1"/>
  <c r="B14" i="1" s="1"/>
  <c r="F13" i="1"/>
  <c r="L14" i="1" l="1" a="1"/>
  <c r="L14" i="1" s="1"/>
  <c r="H14" i="1" a="1"/>
  <c r="H14" i="1" s="1"/>
  <c r="G14" i="1" a="1"/>
  <c r="G14" i="1" s="1"/>
  <c r="I14" i="1" a="1"/>
  <c r="I14" i="1" s="1"/>
  <c r="J14" i="1" s="1"/>
  <c r="K14" i="1" s="1"/>
  <c r="E15" i="1" l="1"/>
  <c r="F15" i="1" s="1"/>
  <c r="B15" i="1"/>
  <c r="H15" i="1" l="1" a="1"/>
  <c r="H15" i="1" s="1"/>
  <c r="G15" i="1" a="1"/>
  <c r="G15" i="1" s="1"/>
  <c r="I15" i="1" a="1"/>
  <c r="I15" i="1" s="1"/>
  <c r="L15" i="1" a="1"/>
  <c r="L15" i="1" s="1"/>
  <c r="E16" i="1" l="1"/>
  <c r="F16" i="1" s="1"/>
  <c r="J15" i="1"/>
  <c r="K15" i="1" s="1"/>
  <c r="B16" i="1" l="1"/>
  <c r="H16" i="1" l="1" a="1"/>
  <c r="H16" i="1" s="1"/>
  <c r="G16" i="1" a="1"/>
  <c r="G16" i="1" s="1"/>
  <c r="I16" i="1" a="1"/>
  <c r="I16" i="1" s="1"/>
  <c r="L16" i="1" a="1"/>
  <c r="L16" i="1" s="1"/>
  <c r="E17" i="1" l="1"/>
  <c r="F17" i="1" s="1"/>
  <c r="J16" i="1"/>
  <c r="B17" i="1" s="1"/>
  <c r="H17" i="1" l="1" a="1"/>
  <c r="H17" i="1" s="1"/>
  <c r="G17" i="1" a="1"/>
  <c r="G17" i="1" s="1"/>
  <c r="I17" i="1" a="1"/>
  <c r="I17" i="1" s="1"/>
  <c r="L17" i="1" a="1"/>
  <c r="L17" i="1" s="1"/>
  <c r="K16" i="1"/>
  <c r="E18" i="1" l="1"/>
  <c r="F18" i="1" s="1"/>
  <c r="J17" i="1"/>
  <c r="B18" i="1" s="1"/>
  <c r="H18" i="1" l="1" a="1"/>
  <c r="H18" i="1" s="1"/>
  <c r="G18" i="1" a="1"/>
  <c r="G18" i="1" s="1"/>
  <c r="I18" i="1" a="1"/>
  <c r="I18" i="1" s="1"/>
  <c r="L18" i="1" a="1"/>
  <c r="L18" i="1" s="1"/>
  <c r="K17" i="1"/>
  <c r="E19" i="1" l="1"/>
  <c r="F19" i="1" s="1"/>
  <c r="J18" i="1"/>
  <c r="B19" i="1" s="1"/>
  <c r="H19" i="1" l="1" a="1"/>
  <c r="H19" i="1" s="1"/>
  <c r="G19" i="1" a="1"/>
  <c r="G19" i="1" s="1"/>
  <c r="I19" i="1" a="1"/>
  <c r="I19" i="1" s="1"/>
  <c r="E20" i="1" s="1"/>
  <c r="F20" i="1" s="1"/>
  <c r="L19" i="1" a="1"/>
  <c r="L19" i="1" s="1"/>
  <c r="K18" i="1"/>
  <c r="J19" i="1" l="1"/>
  <c r="B20" i="1" s="1"/>
  <c r="K19" i="1" l="1"/>
  <c r="H20" i="1" a="1"/>
  <c r="H20" i="1" s="1"/>
  <c r="G20" i="1" a="1"/>
  <c r="G20" i="1" s="1"/>
  <c r="I20" i="1" a="1"/>
  <c r="I20" i="1" s="1"/>
  <c r="L20" i="1" a="1"/>
  <c r="L20" i="1" s="1"/>
  <c r="E21" i="1" l="1"/>
  <c r="F21" i="1" s="1"/>
  <c r="J20" i="1"/>
  <c r="B21" i="1" s="1"/>
  <c r="H21" i="1" l="1" a="1"/>
  <c r="H21" i="1" s="1"/>
  <c r="G21" i="1" a="1"/>
  <c r="G21" i="1" s="1"/>
  <c r="I21" i="1" a="1"/>
  <c r="I21" i="1" s="1"/>
  <c r="L21" i="1" a="1"/>
  <c r="L21" i="1" s="1"/>
  <c r="K20" i="1"/>
  <c r="J21" i="1" l="1"/>
  <c r="B22" i="1" s="1"/>
  <c r="E22" i="1"/>
  <c r="F22" i="1" s="1"/>
  <c r="K21" i="1" l="1"/>
  <c r="H22" i="1" a="1"/>
  <c r="H22" i="1" s="1"/>
  <c r="G22" i="1" a="1"/>
  <c r="G22" i="1" s="1"/>
  <c r="I22" i="1" a="1"/>
  <c r="I22" i="1" s="1"/>
  <c r="L22" i="1" a="1"/>
  <c r="L22" i="1" s="1"/>
  <c r="E23" i="1" l="1"/>
  <c r="F23" i="1" s="1"/>
  <c r="J22" i="1"/>
  <c r="B23" i="1" s="1"/>
  <c r="H23" i="1" l="1" a="1"/>
  <c r="H23" i="1" s="1"/>
  <c r="G23" i="1" a="1"/>
  <c r="G23" i="1" s="1"/>
  <c r="I23" i="1" a="1"/>
  <c r="I23" i="1" s="1"/>
  <c r="L23" i="1" a="1"/>
  <c r="L23" i="1" s="1"/>
  <c r="K22" i="1"/>
  <c r="J23" i="1" l="1"/>
  <c r="B24" i="1" s="1"/>
  <c r="E24" i="1"/>
  <c r="F24" i="1" s="1"/>
  <c r="H24" i="1" l="1" a="1"/>
  <c r="H24" i="1" s="1"/>
  <c r="G24" i="1" a="1"/>
  <c r="G24" i="1" s="1"/>
  <c r="I24" i="1" a="1"/>
  <c r="I24" i="1" s="1"/>
  <c r="E25" i="1" s="1"/>
  <c r="F25" i="1" s="1"/>
  <c r="L24" i="1" a="1"/>
  <c r="L24" i="1" s="1"/>
  <c r="K23" i="1"/>
  <c r="J24" i="1" l="1"/>
  <c r="B25" i="1" l="1"/>
  <c r="K24" i="1"/>
  <c r="H25" i="1" l="1" a="1"/>
  <c r="H25" i="1" s="1"/>
  <c r="G25" i="1" a="1"/>
  <c r="G25" i="1" s="1"/>
  <c r="I25" i="1" a="1"/>
  <c r="I25" i="1" s="1"/>
  <c r="L25" i="1" a="1"/>
  <c r="L25" i="1" s="1"/>
  <c r="E26" i="1" l="1"/>
  <c r="F26" i="1" s="1"/>
  <c r="J25" i="1"/>
  <c r="K25" i="1" l="1"/>
  <c r="B26" i="1"/>
  <c r="H26" i="1" l="1" a="1"/>
  <c r="H26" i="1" s="1"/>
  <c r="G26" i="1" a="1"/>
  <c r="G26" i="1" s="1"/>
  <c r="I26" i="1" a="1"/>
  <c r="I26" i="1" s="1"/>
  <c r="L26" i="1" a="1"/>
  <c r="L26" i="1" s="1"/>
  <c r="J26" i="1" l="1"/>
  <c r="B27" i="1" s="1"/>
  <c r="E27" i="1"/>
  <c r="F27" i="1" s="1"/>
  <c r="K26" i="1" l="1"/>
  <c r="H27" i="1" a="1"/>
  <c r="H27" i="1" s="1"/>
  <c r="G27" i="1" a="1"/>
  <c r="G27" i="1" s="1"/>
  <c r="I27" i="1" a="1"/>
  <c r="I27" i="1" s="1"/>
  <c r="L27" i="1" a="1"/>
  <c r="L27" i="1" s="1"/>
  <c r="E28" i="1" l="1"/>
  <c r="F28" i="1" s="1"/>
  <c r="J27" i="1"/>
  <c r="K27" i="1" l="1"/>
  <c r="B28" i="1"/>
  <c r="H28" i="1" l="1" a="1"/>
  <c r="H28" i="1" s="1"/>
  <c r="G28" i="1" a="1"/>
  <c r="G28" i="1" s="1"/>
  <c r="I28" i="1" a="1"/>
  <c r="I28" i="1" s="1"/>
  <c r="E29" i="1" s="1"/>
  <c r="F29" i="1" s="1"/>
  <c r="L28" i="1" a="1"/>
  <c r="L28" i="1" s="1"/>
  <c r="J28" i="1" l="1"/>
  <c r="K28" i="1" l="1"/>
  <c r="B29" i="1"/>
  <c r="H29" i="1" l="1" a="1"/>
  <c r="H29" i="1" s="1"/>
  <c r="G29" i="1" a="1"/>
  <c r="G29" i="1" s="1"/>
  <c r="I29" i="1" a="1"/>
  <c r="I29" i="1" s="1"/>
  <c r="L29" i="1" a="1"/>
  <c r="L29" i="1" s="1"/>
  <c r="E30" i="1" l="1"/>
  <c r="F30" i="1" s="1"/>
  <c r="J29" i="1"/>
  <c r="B30" i="1" l="1"/>
  <c r="K29" i="1"/>
  <c r="H30" i="1" l="1" a="1"/>
  <c r="H30" i="1" s="1"/>
  <c r="G30" i="1" a="1"/>
  <c r="G30" i="1" s="1"/>
  <c r="I30" i="1" a="1"/>
  <c r="I30" i="1" s="1"/>
  <c r="L30" i="1" a="1"/>
  <c r="L30" i="1" s="1"/>
  <c r="E31" i="1" l="1"/>
  <c r="F31" i="1" s="1"/>
  <c r="J30" i="1"/>
  <c r="B31" i="1" l="1"/>
  <c r="K30" i="1"/>
  <c r="H31" i="1" l="1" a="1"/>
  <c r="H31" i="1" s="1"/>
  <c r="G31" i="1" a="1"/>
  <c r="G31" i="1" s="1"/>
  <c r="I31" i="1" a="1"/>
  <c r="I31" i="1" s="1"/>
  <c r="L31" i="1" a="1"/>
  <c r="L31" i="1" s="1"/>
  <c r="J31" i="1" l="1"/>
  <c r="B32" i="1" s="1"/>
  <c r="E32" i="1"/>
  <c r="F32" i="1" s="1"/>
  <c r="K31" i="1" l="1"/>
  <c r="H32" i="1" a="1"/>
  <c r="H32" i="1" s="1"/>
  <c r="G32" i="1" a="1"/>
  <c r="G32" i="1" s="1"/>
  <c r="I32" i="1" a="1"/>
  <c r="I32" i="1" s="1"/>
  <c r="L32" i="1" a="1"/>
  <c r="L32" i="1" s="1"/>
  <c r="E33" i="1" l="1"/>
  <c r="F33" i="1" s="1"/>
  <c r="J32" i="1"/>
  <c r="B33" i="1" l="1"/>
  <c r="K32" i="1"/>
  <c r="H33" i="1" l="1" a="1"/>
  <c r="H33" i="1" s="1"/>
  <c r="G33" i="1" a="1"/>
  <c r="G33" i="1" s="1"/>
  <c r="I33" i="1" a="1"/>
  <c r="I33" i="1" s="1"/>
  <c r="L33" i="1" a="1"/>
  <c r="L33" i="1" s="1"/>
  <c r="E34" i="1" l="1"/>
  <c r="F34" i="1" s="1"/>
  <c r="J33" i="1"/>
  <c r="B34" i="1" l="1"/>
  <c r="K33" i="1"/>
  <c r="H34" i="1" l="1" a="1"/>
  <c r="H34" i="1" s="1"/>
  <c r="G34" i="1" a="1"/>
  <c r="G34" i="1" s="1"/>
  <c r="I34" i="1" a="1"/>
  <c r="I34" i="1" s="1"/>
  <c r="L34" i="1" a="1"/>
  <c r="L34" i="1" s="1"/>
  <c r="E35" i="1" l="1"/>
  <c r="F35" i="1" s="1"/>
  <c r="J34" i="1"/>
  <c r="K34" i="1" l="1"/>
  <c r="B35" i="1"/>
  <c r="H35" i="1" l="1" a="1"/>
  <c r="H35" i="1" s="1"/>
  <c r="G35" i="1" a="1"/>
  <c r="G35" i="1" s="1"/>
  <c r="I35" i="1" a="1"/>
  <c r="I35" i="1" s="1"/>
  <c r="L35" i="1" a="1"/>
  <c r="L35" i="1" s="1"/>
  <c r="J35" i="1" l="1"/>
  <c r="K35" i="1" s="1"/>
  <c r="E36" i="1"/>
  <c r="F36" i="1" s="1"/>
  <c r="B36" i="1" l="1"/>
  <c r="G36" i="1" s="1" a="1"/>
  <c r="G36" i="1" s="1"/>
  <c r="L36" i="1" a="1"/>
  <c r="L36" i="1" s="1"/>
  <c r="I36" i="1" l="1" a="1"/>
  <c r="I36" i="1" s="1"/>
  <c r="J36" i="1" s="1"/>
  <c r="H36" i="1" a="1"/>
  <c r="H36" i="1" s="1"/>
  <c r="E37" i="1" l="1"/>
  <c r="F37" i="1" s="1"/>
  <c r="B37" i="1"/>
  <c r="K36" i="1"/>
  <c r="H37" i="1" l="1" a="1"/>
  <c r="H37" i="1" s="1"/>
  <c r="G37" i="1" a="1"/>
  <c r="G37" i="1" s="1"/>
  <c r="I37" i="1" a="1"/>
  <c r="I37" i="1" s="1"/>
  <c r="L37" i="1" a="1"/>
  <c r="L37" i="1" s="1"/>
  <c r="E38" i="1" l="1"/>
  <c r="F38" i="1" s="1"/>
  <c r="J37" i="1"/>
  <c r="B38" i="1" l="1"/>
  <c r="K37" i="1"/>
  <c r="H38" i="1" l="1" a="1"/>
  <c r="H38" i="1" s="1"/>
  <c r="G38" i="1" a="1"/>
  <c r="G38" i="1" s="1"/>
  <c r="I38" i="1" a="1"/>
  <c r="I38" i="1" s="1"/>
  <c r="L38" i="1" a="1"/>
  <c r="L38" i="1" s="1"/>
  <c r="E39" i="1" l="1"/>
  <c r="F39" i="1" s="1"/>
  <c r="J38" i="1"/>
  <c r="K38" i="1" l="1"/>
  <c r="B39" i="1"/>
  <c r="H39" i="1" l="1" a="1"/>
  <c r="H39" i="1" s="1"/>
  <c r="G39" i="1" a="1"/>
  <c r="G39" i="1" s="1"/>
  <c r="I39" i="1" a="1"/>
  <c r="I39" i="1" s="1"/>
  <c r="L39" i="1" a="1"/>
  <c r="L39" i="1" s="1"/>
  <c r="E40" i="1" l="1"/>
  <c r="F40" i="1" s="1"/>
  <c r="J39" i="1"/>
  <c r="B40" i="1" l="1"/>
  <c r="K39" i="1"/>
  <c r="H40" i="1" l="1" a="1"/>
  <c r="H40" i="1" s="1"/>
  <c r="G40" i="1" a="1"/>
  <c r="G40" i="1" s="1"/>
  <c r="I40" i="1" a="1"/>
  <c r="I40" i="1" s="1"/>
  <c r="L40" i="1" a="1"/>
  <c r="L40" i="1" s="1"/>
  <c r="E41" i="1" l="1"/>
  <c r="F41" i="1" s="1"/>
  <c r="J40" i="1"/>
  <c r="K40" i="1" l="1"/>
  <c r="B41" i="1"/>
  <c r="H41" i="1" l="1" a="1"/>
  <c r="H41" i="1" s="1"/>
  <c r="G41" i="1" a="1"/>
  <c r="G41" i="1" s="1"/>
  <c r="I41" i="1" a="1"/>
  <c r="I41" i="1" s="1"/>
  <c r="L41" i="1" a="1"/>
  <c r="L41" i="1" s="1"/>
  <c r="E42" i="1" l="1"/>
  <c r="F42" i="1" s="1"/>
  <c r="J41" i="1"/>
  <c r="K41" i="1" l="1"/>
  <c r="B42" i="1"/>
  <c r="H42" i="1" l="1" a="1"/>
  <c r="H42" i="1" s="1"/>
  <c r="G42" i="1" a="1"/>
  <c r="G42" i="1" s="1"/>
  <c r="I42" i="1" a="1"/>
  <c r="I42" i="1" s="1"/>
  <c r="L42" i="1" a="1"/>
  <c r="L42" i="1" s="1"/>
  <c r="E43" i="1" l="1"/>
  <c r="F43" i="1" s="1"/>
  <c r="J42" i="1"/>
  <c r="K42" i="1" l="1"/>
  <c r="B43" i="1"/>
  <c r="H43" i="1" l="1" a="1"/>
  <c r="H43" i="1" s="1"/>
  <c r="G43" i="1" a="1"/>
  <c r="G43" i="1" s="1"/>
  <c r="I43" i="1" a="1"/>
  <c r="I43" i="1" s="1"/>
  <c r="L43" i="1" a="1"/>
  <c r="L43" i="1" s="1"/>
  <c r="E44" i="1" l="1"/>
  <c r="F44" i="1" s="1"/>
  <c r="J43" i="1"/>
  <c r="K43" i="1" l="1"/>
  <c r="B44" i="1"/>
  <c r="H44" i="1" l="1" a="1"/>
  <c r="H44" i="1" s="1"/>
  <c r="G44" i="1" a="1"/>
  <c r="G44" i="1" s="1"/>
  <c r="I44" i="1" a="1"/>
  <c r="I44" i="1" s="1"/>
  <c r="L44" i="1" a="1"/>
  <c r="L44" i="1" s="1"/>
  <c r="E45" i="1" l="1"/>
  <c r="F45" i="1" s="1"/>
  <c r="J44" i="1"/>
  <c r="B45" i="1" l="1"/>
  <c r="K44" i="1"/>
  <c r="H45" i="1" l="1" a="1"/>
  <c r="H45" i="1" s="1"/>
  <c r="G45" i="1" a="1"/>
  <c r="G45" i="1" s="1"/>
  <c r="I45" i="1" a="1"/>
  <c r="I45" i="1" s="1"/>
  <c r="L45" i="1" a="1"/>
  <c r="L45" i="1" s="1"/>
  <c r="E46" i="1" l="1"/>
  <c r="F46" i="1" s="1"/>
  <c r="J45" i="1"/>
  <c r="B46" i="1" l="1"/>
  <c r="K45" i="1"/>
  <c r="H46" i="1" l="1" a="1"/>
  <c r="H46" i="1" s="1"/>
  <c r="G46" i="1" a="1"/>
  <c r="G46" i="1" s="1"/>
  <c r="I46" i="1" a="1"/>
  <c r="I46" i="1" s="1"/>
  <c r="L46" i="1" a="1"/>
  <c r="L46" i="1" s="1"/>
  <c r="E47" i="1" l="1"/>
  <c r="F47" i="1" s="1"/>
  <c r="J46" i="1"/>
  <c r="B47" i="1" l="1"/>
  <c r="K46" i="1"/>
  <c r="H47" i="1" l="1" a="1"/>
  <c r="H47" i="1" s="1"/>
  <c r="G47" i="1" a="1"/>
  <c r="G47" i="1" s="1"/>
  <c r="I47" i="1" a="1"/>
  <c r="I47" i="1" s="1"/>
  <c r="L47" i="1" a="1"/>
  <c r="L47" i="1" s="1"/>
  <c r="E48" i="1" l="1"/>
  <c r="F48" i="1" s="1"/>
  <c r="J47" i="1"/>
  <c r="B48" i="1" l="1"/>
  <c r="K47" i="1"/>
  <c r="H48" i="1" l="1" a="1"/>
  <c r="H48" i="1" s="1"/>
  <c r="G48" i="1" a="1"/>
  <c r="G48" i="1" s="1"/>
  <c r="I48" i="1" a="1"/>
  <c r="I48" i="1" s="1"/>
  <c r="L48" i="1" a="1"/>
  <c r="L48" i="1" s="1"/>
  <c r="E49" i="1" l="1"/>
  <c r="F49" i="1" s="1"/>
  <c r="J48" i="1"/>
  <c r="B49" i="1" l="1"/>
  <c r="K48" i="1"/>
  <c r="H49" i="1" l="1" a="1"/>
  <c r="H49" i="1" s="1"/>
  <c r="G49" i="1" a="1"/>
  <c r="G49" i="1" s="1"/>
  <c r="I49" i="1" a="1"/>
  <c r="I49" i="1" s="1"/>
  <c r="L49" i="1" a="1"/>
  <c r="L49" i="1" s="1"/>
  <c r="E50" i="1" l="1"/>
  <c r="F50" i="1" s="1"/>
  <c r="J49" i="1"/>
  <c r="B50" i="1" l="1"/>
  <c r="K49" i="1"/>
  <c r="H50" i="1" l="1" a="1"/>
  <c r="H50" i="1" s="1"/>
  <c r="G50" i="1" a="1"/>
  <c r="G50" i="1" s="1"/>
  <c r="I50" i="1" a="1"/>
  <c r="I50" i="1" s="1"/>
  <c r="E51" i="1" s="1"/>
  <c r="F51" i="1" s="1"/>
  <c r="L50" i="1" a="1"/>
  <c r="L50" i="1" s="1"/>
  <c r="J50" i="1" l="1"/>
  <c r="B51" i="1" l="1"/>
  <c r="K50" i="1"/>
  <c r="H51" i="1" l="1" a="1"/>
  <c r="H51" i="1" s="1"/>
  <c r="G51" i="1" a="1"/>
  <c r="G51" i="1" s="1"/>
  <c r="I51" i="1" a="1"/>
  <c r="I51" i="1" s="1"/>
  <c r="L51" i="1" a="1"/>
  <c r="L51" i="1" s="1"/>
  <c r="E52" i="1" l="1"/>
  <c r="F52" i="1" s="1"/>
  <c r="J51" i="1"/>
  <c r="B52" i="1" l="1"/>
  <c r="K51" i="1"/>
  <c r="H52" i="1" l="1" a="1"/>
  <c r="H52" i="1" s="1"/>
  <c r="G52" i="1" a="1"/>
  <c r="G52" i="1" s="1"/>
  <c r="I52" i="1" a="1"/>
  <c r="I52" i="1" s="1"/>
  <c r="L52" i="1" a="1"/>
  <c r="L52" i="1" s="1"/>
  <c r="E53" i="1" l="1"/>
  <c r="F53" i="1" s="1"/>
  <c r="J52" i="1"/>
  <c r="K52" i="1" l="1"/>
  <c r="B53" i="1"/>
  <c r="H53" i="1" s="1" a="1"/>
  <c r="H53" i="1" s="1"/>
  <c r="G53" i="1" l="1" a="1"/>
  <c r="G53" i="1" s="1"/>
  <c r="L53" i="1" a="1"/>
  <c r="L53" i="1" s="1"/>
  <c r="I53" i="1" a="1"/>
  <c r="I53" i="1" s="1"/>
  <c r="J53" i="1" s="1"/>
  <c r="J56" i="1" l="1"/>
  <c r="K5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<sst xmlns="http://schemas.openxmlformats.org/spreadsheetml/2006/main" count="31" uniqueCount="31">
  <si>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Parameter</t>
  </si>
  <si>
    <t>Value</t>
  </si>
  <si>
    <t>Initial Withdrawl</t>
  </si>
  <si>
    <t>Initial Portfolio</t>
  </si>
  <si>
    <t>Increase Treshold</t>
  </si>
  <si>
    <t>Decrease Treshold</t>
  </si>
  <si>
    <t>Increase when triggered</t>
  </si>
  <si>
    <t>Decrease when triggered</t>
  </si>
  <si>
    <t>Allow inflation adjust only if rule passes (TRUE/FALSE)</t>
  </si>
  <si>
    <t>Year</t>
  </si>
  <si>
    <t>Nominal Return</t>
  </si>
  <si>
    <t>Start Portfolio</t>
  </si>
  <si>
    <t>Inflation</t>
  </si>
  <si>
    <t>Prior Withdrawl</t>
  </si>
  <si>
    <t>Inflation Adjusted Proposal</t>
  </si>
  <si>
    <t>Rule Decision</t>
  </si>
  <si>
    <t>Final Withdrawl This Year</t>
  </si>
  <si>
    <t>Inflation Allowed This Year</t>
  </si>
  <si>
    <t>End Portfolio</t>
  </si>
  <si>
    <t>Note</t>
  </si>
  <si>
    <t>Mean Return</t>
  </si>
  <si>
    <t>SD Return</t>
  </si>
  <si>
    <t>Mean Inflation</t>
  </si>
  <si>
    <t>SD Inflation</t>
  </si>
  <si>
    <t>PV</t>
  </si>
  <si>
    <t>CORPUS WITHDRAWL STRATEGY</t>
  </si>
  <si>
    <t>% Portfolio Increase</t>
  </si>
  <si>
    <t>Guyton-Klinger Rule</t>
  </si>
  <si>
    <t xml:space="preserve"> Previous Year ending portfolio within range - Inflation adjustment allowed</t>
  </si>
  <si>
    <t xml:space="preserve"> Previous Year ending portfolio over upper treshold - Inflation adjustment + 5% allowed</t>
  </si>
  <si>
    <t xml:space="preserve"> Previous Year ending portfolio under lower treshold - CUT spending by 10% and NO Inflation adjustment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</si>
</sst>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9999999]&quot;₹&quot;###\,##\,##\,##0&quot; Cr&quot;;[&gt;99999]&quot;₹&quot;###\,##\,##0&quot; Lakh&quot;;&quot;₹&quot;#,##0"/>
    <numFmt numFmtId="165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"/>
    </font>
    <font>
      <b/>
      <sz val="12"/>
      <color theme="1" tint="0.34998626667073579"/>
      <name val="Aptos Narrow"/>
      <scheme val="minor"/>
    </font>
    <font>
      <sz val="22"/>
      <color theme="1"/>
      <name val="Arial"/>
      <family val="2"/>
    </font>
    <font>
      <b/>
      <sz val="12"/>
      <color theme="1"/>
      <name val="Aptos Narrow"/>
      <scheme val="minor"/>
    </font>
    <font>
      <b/>
      <sz val="14"/>
      <color theme="0" tint="-0.34998626667073579"/>
      <name val="Aptos"/>
    </font>
    <font>
      <i/>
      <sz val="14"/>
      <color theme="0" tint="-0.34998626667073579"/>
      <name val="Aptos Display"/>
      <scheme val="maj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0" borderId="4" xfId="0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3" fillId="4" borderId="0" xfId="0" applyNumberFormat="1" applyFont="1" applyFill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5" fontId="0" fillId="6" borderId="0" xfId="1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165" fontId="0" fillId="7" borderId="0" xfId="1" applyNumberFormat="1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165" fontId="0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1130300</xdr:colOff>
      <xdr:row>55</xdr:row>
      <xdr:rowOff>139700</xdr:rowOff>
    </xdr:from>
    <xdr:to>
      <xdr:col>8</xdr:col>
      <xdr:colOff>1549400</xdr:colOff>
      <xdr:row>55</xdr:row>
      <xdr:rowOff>139700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BCEBF4C-6CCF-2AC1-971E-A11E3E76DFD3}"/>
            </a:ext>
          </a:extLst>
        </xdr:cNvPr>
        <xdr:cNvCxnSpPr/>
      </xdr:nvCxnSpPr>
      <xdr:spPr>
        <a:xfrm>
          <a:off x="12776200" y="12179300"/>
          <a:ext cx="419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421A-6904-F64D-AD59-69D07B13712F}">
  <sheetPr codeName="Sheet1"/>
  <dimension ref="A1:L56"/>
  <sheetViews>
    <sheetView showGridLines="0" tabSelected="1" zoomScale="91" zoomScaleNormal="130" workbookViewId="0">
      <pane ySplit="12" topLeftCell="A26" activePane="bottomLeft" state="frozen"/>
      <selection pane="bottomLeft" activeCell="D9" sqref="D9"/>
    </sheetView>
  </sheetViews>
  <sheetFormatPr baseColWidth="10" defaultRowHeight="16" x14ac:dyDescent="0.2"/>
  <cols>
    <col min="1" max="1" width="26.33203125" customWidth="1"/>
    <col min="2" max="2" width="18.83203125" customWidth="1"/>
    <col min="3" max="3" width="10.6640625" style="3" customWidth="1"/>
    <col min="4" max="4" width="10.1640625" style="3" customWidth="1"/>
    <col min="5" max="5" width="16.6640625" customWidth="1"/>
    <col min="6" max="6" width="17.33203125" customWidth="1"/>
    <col min="7" max="7" width="13.5" customWidth="1"/>
    <col min="8" max="8" width="16.83203125" style="2" customWidth="1"/>
    <col min="9" max="9" width="21.33203125" style="3" customWidth="1"/>
    <col min="10" max="10" width="20.1640625" style="3" customWidth="1"/>
    <col min="11" max="11" width="16" style="3" customWidth="1"/>
    <col min="12" max="12" width="49.33203125" style="2" customWidth="1"/>
  </cols>
  <sheetData>
    <row r="1" spans="1:12" ht="59" customHeight="1" x14ac:dyDescent="0.2">
      <c r="A1" s="31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2" s="1" customFormat="1" ht="28" customHeight="1" x14ac:dyDescent="0.2">
      <c r="A2" s="8" t="s">
        <v>0</v>
      </c>
      <c r="B2" s="8" t="s">
        <v>1</v>
      </c>
      <c r="C2" s="8"/>
      <c r="G2" s="29" t="s">
        <v>27</v>
      </c>
      <c r="H2" s="2"/>
      <c r="I2" s="2"/>
      <c r="J2" s="2"/>
      <c r="K2" s="2"/>
      <c r="L2" s="9"/>
    </row>
    <row r="3" spans="1:12" s="1" customFormat="1" ht="18" x14ac:dyDescent="0.2">
      <c r="A3" s="2" t="s">
        <v>2</v>
      </c>
      <c r="B3" s="10">
        <v>600000</v>
      </c>
      <c r="C3" s="2"/>
      <c r="D3" s="1" t="s">
        <v>20</v>
      </c>
      <c r="E3" s="21">
        <v>0.11</v>
      </c>
      <c r="G3" s="30" t="s">
        <v>28</v>
      </c>
      <c r="H3" s="2"/>
      <c r="I3" s="2"/>
    </row>
    <row r="4" spans="1:12" s="1" customFormat="1" ht="18" x14ac:dyDescent="0.2">
      <c r="A4" s="2" t="s">
        <v>3</v>
      </c>
      <c r="B4" s="27">
        <v>150000000</v>
      </c>
      <c r="C4" s="2"/>
      <c r="D4" s="1" t="s">
        <v>21</v>
      </c>
      <c r="E4" s="21">
        <v>0.15</v>
      </c>
      <c r="G4" s="30" t="s">
        <v>29</v>
      </c>
      <c r="H4" s="2"/>
      <c r="I4" s="2"/>
    </row>
    <row r="5" spans="1:12" s="1" customFormat="1" ht="18" x14ac:dyDescent="0.2">
      <c r="A5" s="2" t="s">
        <v>4</v>
      </c>
      <c r="B5" s="24">
        <v>0.05</v>
      </c>
      <c r="C5" s="2"/>
      <c r="D5" s="1" t="s">
        <v>22</v>
      </c>
      <c r="E5" s="28">
        <v>7.4999999999999997E-2</v>
      </c>
      <c r="G5" s="30" t="s">
        <v>30</v>
      </c>
      <c r="H5" s="2"/>
      <c r="I5" s="2"/>
    </row>
    <row r="6" spans="1:12" s="1" customFormat="1" x14ac:dyDescent="0.2">
      <c r="A6" s="2" t="s">
        <v>5</v>
      </c>
      <c r="B6" s="24">
        <v>0.05</v>
      </c>
      <c r="C6" s="2"/>
      <c r="D6" s="1" t="s">
        <v>23</v>
      </c>
      <c r="E6" s="21">
        <v>0.03</v>
      </c>
      <c r="H6" s="2"/>
      <c r="I6" s="2"/>
    </row>
    <row r="7" spans="1:12" s="1" customFormat="1" x14ac:dyDescent="0.2">
      <c r="A7" s="2" t="s">
        <v>6</v>
      </c>
      <c r="B7" s="25">
        <v>0.05</v>
      </c>
      <c r="C7" s="2"/>
      <c r="D7" s="2"/>
      <c r="H7" s="2"/>
      <c r="I7" s="2"/>
      <c r="J7" s="2"/>
      <c r="K7" s="2"/>
      <c r="L7" s="9"/>
    </row>
    <row r="8" spans="1:12" s="1" customFormat="1" x14ac:dyDescent="0.2">
      <c r="A8" s="2" t="s">
        <v>7</v>
      </c>
      <c r="B8" s="26">
        <v>0.1</v>
      </c>
      <c r="C8" s="2"/>
      <c r="D8" s="2"/>
      <c r="H8" s="2"/>
      <c r="I8" s="2"/>
      <c r="J8" s="2"/>
      <c r="K8" s="2"/>
      <c r="L8" s="9"/>
    </row>
    <row r="9" spans="1:12" s="1" customFormat="1" ht="37" customHeight="1" x14ac:dyDescent="0.2">
      <c r="A9" s="11" t="s">
        <v>8</v>
      </c>
      <c r="B9" s="12" t="b">
        <v>1</v>
      </c>
      <c r="C9" s="2"/>
      <c r="D9" s="2"/>
      <c r="H9" s="2"/>
      <c r="I9" s="2"/>
      <c r="J9" s="2"/>
      <c r="K9" s="2"/>
      <c r="L9" s="9"/>
    </row>
    <row r="10" spans="1:12" x14ac:dyDescent="0.2">
      <c r="L10" s="9"/>
    </row>
    <row r="11" spans="1:12" x14ac:dyDescent="0.2">
      <c r="L11" s="9"/>
    </row>
    <row r="12" spans="1:12" s="4" customFormat="1" ht="67" customHeight="1" x14ac:dyDescent="0.2">
      <c r="A12" s="7" t="s">
        <v>9</v>
      </c>
      <c r="B12" s="7" t="s">
        <v>11</v>
      </c>
      <c r="C12" s="7" t="s">
        <v>10</v>
      </c>
      <c r="D12" s="7" t="s">
        <v>12</v>
      </c>
      <c r="E12" s="7" t="s">
        <v>13</v>
      </c>
      <c r="F12" s="7" t="s">
        <v>14</v>
      </c>
      <c r="G12" s="7" t="s">
        <v>17</v>
      </c>
      <c r="H12" s="7" t="s">
        <v>15</v>
      </c>
      <c r="I12" s="7" t="s">
        <v>16</v>
      </c>
      <c r="J12" s="7" t="s">
        <v>18</v>
      </c>
      <c r="K12" s="7" t="s">
        <v>26</v>
      </c>
      <c r="L12" s="13" t="s">
        <v>19</v>
      </c>
    </row>
    <row r="13" spans="1:12" x14ac:dyDescent="0.2">
      <c r="A13" s="2">
        <v>0</v>
      </c>
      <c r="B13" s="19">
        <f>B4</f>
        <v>150000000</v>
      </c>
      <c r="C13" s="14">
        <v>0</v>
      </c>
      <c r="D13" s="14">
        <f t="shared" ref="D13:D53" ca="1" si="0">_xlfn.LET(_xlpm.mu,$E$5,_xlpm.sd,$E$6, _xlpm.a,(0.05-_xlpm.mu)/_xlpm.sd, _xlpm.b,(0.5-_xlpm.mu)/_xlpm.sd, _xlpm.u, RAND(), _xlpm.mu + _xlpm.sd * _xlfn.NORM.S.INV( _xlfn.NORM.S.DIST(_xlpm.a,TRUE) + _xlpm.u*(_xlfn.NORM.S.DIST(_xlpm.b,TRUE)-_xlfn.NORM.S.DIST(_xlpm.a,TRUE)) ))</f>
        <v>6.2719383037636939E-2</v>
      </c>
      <c r="E13" s="19">
        <f>B3</f>
        <v>600000</v>
      </c>
      <c r="F13" s="19">
        <f ca="1">E13*(1+D13)</f>
        <v>637631.62982258212</v>
      </c>
      <c r="G13" s="3" t="b">
        <f>IF(B9,TRUE,TRUE)</f>
        <v>1</v>
      </c>
      <c r="H13" s="2" t="str">
        <f>"Init"</f>
        <v>Init</v>
      </c>
      <c r="I13" s="19">
        <f>E13</f>
        <v>600000</v>
      </c>
      <c r="J13" s="19">
        <f>B13*(1+C13)-I13</f>
        <v>149400000</v>
      </c>
      <c r="K13" s="19"/>
      <c r="L13" s="9" t="str">
        <f>"Start"</f>
        <v>Start</v>
      </c>
    </row>
    <row r="14" spans="1:12" x14ac:dyDescent="0.2">
      <c r="A14" s="2">
        <f>A13+1</f>
        <v>1</v>
      </c>
      <c r="B14" s="19">
        <f>J13</f>
        <v>149400000</v>
      </c>
      <c r="C14" s="14">
        <f t="shared" ref="C14:C53" ca="1" si="1">MAX(-0.5, MIN(0.5, _xlfn.NORM.INV(RAND(), $E$3, $E$4)))</f>
        <v>0.11729994859716721</v>
      </c>
      <c r="D14" s="14">
        <f t="shared" ca="1" si="0"/>
        <v>7.4930275365309162E-2</v>
      </c>
      <c r="E14" s="19">
        <f>I13</f>
        <v>600000</v>
      </c>
      <c r="F14" s="19">
        <f ca="1">E14*(1+D14)</f>
        <v>644958.16521918552</v>
      </c>
      <c r="G14" s="3" t="b" cm="1">
        <f t="array" aca="1" ref="G14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14" s="2" t="str" cm="1">
        <f t="array" aca="1" ref="H14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14" s="19" cm="1">
        <f t="array" aca="1" ref="I14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540000</v>
      </c>
      <c r="J14" s="19">
        <f ca="1">B14*(1+C14)-I14</f>
        <v>166384612.32041681</v>
      </c>
      <c r="K14" s="22">
        <f ca="1">IFERROR((J14 - B14)/B14, "")</f>
        <v>0.11368549076584208</v>
      </c>
      <c r="L14" s="9" t="str" cm="1">
        <f t="array" aca="1" ref="L14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15" spans="1:12" x14ac:dyDescent="0.2">
      <c r="A15" s="2">
        <f t="shared" ref="A15:A53" si="2">A14+1</f>
        <v>2</v>
      </c>
      <c r="B15" s="19">
        <f t="shared" ref="B15:B53" ca="1" si="3">J14</f>
        <v>166384612.32041681</v>
      </c>
      <c r="C15" s="14">
        <f t="shared" ca="1" si="1"/>
        <v>0.23822120964116877</v>
      </c>
      <c r="D15" s="14">
        <f t="shared" ca="1" si="0"/>
        <v>0.11599422590986865</v>
      </c>
      <c r="E15" s="19">
        <f t="shared" ref="E15:E53" ca="1" si="4">I14</f>
        <v>540000</v>
      </c>
      <c r="F15" s="19">
        <f t="shared" ref="F15:F53" ca="1" si="5">E15*(1+D15)</f>
        <v>602636.88199132914</v>
      </c>
      <c r="G15" s="3" t="b" cm="1">
        <f t="array" aca="1" ref="G15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15" s="2" t="str" cm="1">
        <f t="array" aca="1" ref="H15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15" s="19" cm="1">
        <f t="array" aca="1" ref="I15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580462.34869726689</v>
      </c>
      <c r="J15" s="19">
        <f t="shared" ref="J15:J53" ca="1" si="6">B15*(1+C15)-I15</f>
        <v>205440493.58436611</v>
      </c>
      <c r="K15" s="22">
        <f ca="1">IFERROR((J15 - B15)/B15, "")</f>
        <v>0.23473253156810592</v>
      </c>
      <c r="L15" s="9" t="str" cm="1">
        <f t="array" aca="1" ref="L15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16" spans="1:12" x14ac:dyDescent="0.2">
      <c r="A16" s="2">
        <f t="shared" si="2"/>
        <v>3</v>
      </c>
      <c r="B16" s="19">
        <f t="shared" ca="1" si="3"/>
        <v>205440493.58436611</v>
      </c>
      <c r="C16" s="14">
        <f t="shared" ca="1" si="1"/>
        <v>0.150917779008054</v>
      </c>
      <c r="D16" s="14">
        <f t="shared" ca="1" si="0"/>
        <v>7.9972683424778382E-2</v>
      </c>
      <c r="E16" s="19">
        <f t="shared" ca="1" si="4"/>
        <v>580462.34869726689</v>
      </c>
      <c r="F16" s="19">
        <f t="shared" ca="1" si="5"/>
        <v>626883.48034963675</v>
      </c>
      <c r="G16" s="3" t="b" cm="1">
        <f t="array" aca="1" ref="G16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16" s="2" t="str" cm="1">
        <f t="array" aca="1" ref="H16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16" s="19" cm="1">
        <f t="array" aca="1" ref="I16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680182.26097944228</v>
      </c>
      <c r="J16" s="19">
        <f t="shared" ca="1" si="6"/>
        <v>235764934.33345759</v>
      </c>
      <c r="K16" s="22">
        <f t="shared" ref="K16:K53" ca="1" si="7">IFERROR((J16 - B16)/B16, "")</f>
        <v>0.14760693094148186</v>
      </c>
      <c r="L16" s="9" t="str" cm="1">
        <f t="array" aca="1" ref="L16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17" spans="1:12" x14ac:dyDescent="0.2">
      <c r="A17" s="2">
        <f t="shared" si="2"/>
        <v>4</v>
      </c>
      <c r="B17" s="19">
        <f t="shared" ca="1" si="3"/>
        <v>235764934.33345759</v>
      </c>
      <c r="C17" s="14">
        <f t="shared" ca="1" si="1"/>
        <v>-8.619912525094188E-2</v>
      </c>
      <c r="D17" s="14">
        <f t="shared" ca="1" si="0"/>
        <v>5.3665282747116065E-2</v>
      </c>
      <c r="E17" s="19">
        <f t="shared" ca="1" si="4"/>
        <v>680182.26097944228</v>
      </c>
      <c r="F17" s="19">
        <f t="shared" ca="1" si="5"/>
        <v>716684.43433447671</v>
      </c>
      <c r="G17" s="3" t="b" cm="1">
        <f t="array" aca="1" ref="G17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17" s="2" t="str" cm="1">
        <f t="array" aca="1" ref="H17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17" s="19" cm="1">
        <f t="array" aca="1" ref="I17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771307.17468829639</v>
      </c>
      <c r="J17" s="19">
        <f t="shared" ca="1" si="6"/>
        <v>214670896.05437949</v>
      </c>
      <c r="K17" s="22">
        <f t="shared" ca="1" si="7"/>
        <v>-8.947063454840759E-2</v>
      </c>
      <c r="L17" s="9" t="str" cm="1">
        <f t="array" aca="1" ref="L17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18" spans="1:12" x14ac:dyDescent="0.2">
      <c r="A18" s="2">
        <f t="shared" si="2"/>
        <v>5</v>
      </c>
      <c r="B18" s="19">
        <f t="shared" ca="1" si="3"/>
        <v>214670896.05437949</v>
      </c>
      <c r="C18" s="14">
        <f t="shared" ca="1" si="1"/>
        <v>0.14691842850861481</v>
      </c>
      <c r="D18" s="14">
        <f t="shared" ca="1" si="0"/>
        <v>8.4454682531056702E-2</v>
      </c>
      <c r="E18" s="19">
        <f t="shared" ca="1" si="4"/>
        <v>771307.17468829639</v>
      </c>
      <c r="F18" s="19">
        <f t="shared" ca="1" si="5"/>
        <v>836447.67726052261</v>
      </c>
      <c r="G18" s="3" t="b" cm="1">
        <f t="array" aca="1" ref="G18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18" s="2" t="str" cm="1">
        <f t="array" aca="1" ref="H18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18" s="19" cm="1">
        <f t="array" aca="1" ref="I18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694176.4572194668</v>
      </c>
      <c r="J18" s="19">
        <f t="shared" ca="1" si="6"/>
        <v>245515830.29200563</v>
      </c>
      <c r="K18" s="22">
        <f t="shared" ca="1" si="7"/>
        <v>0.14368475095856792</v>
      </c>
      <c r="L18" s="9" t="str" cm="1">
        <f t="array" aca="1" ref="L18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19" spans="1:12" x14ac:dyDescent="0.2">
      <c r="A19" s="2">
        <f t="shared" si="2"/>
        <v>6</v>
      </c>
      <c r="B19" s="19">
        <f t="shared" ca="1" si="3"/>
        <v>245515830.29200563</v>
      </c>
      <c r="C19" s="14">
        <f t="shared" ca="1" si="1"/>
        <v>-0.2729109629372336</v>
      </c>
      <c r="D19" s="14">
        <f t="shared" ca="1" si="0"/>
        <v>6.9016179404640804E-2</v>
      </c>
      <c r="E19" s="19">
        <f t="shared" ca="1" si="4"/>
        <v>694176.4572194668</v>
      </c>
      <c r="F19" s="19">
        <f t="shared" ca="1" si="5"/>
        <v>742085.86412940349</v>
      </c>
      <c r="G19" s="3" t="b" cm="1">
        <f t="array" aca="1" ref="G19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19" s="2" t="str" cm="1">
        <f t="array" aca="1" ref="H19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19" s="19" cm="1">
        <f t="array" aca="1" ref="I19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790443.05501119397</v>
      </c>
      <c r="J19" s="19">
        <f t="shared" ca="1" si="6"/>
        <v>177721425.57566875</v>
      </c>
      <c r="K19" s="22">
        <f t="shared" ca="1" si="7"/>
        <v>-0.27613048264832951</v>
      </c>
      <c r="L19" s="9" t="str" cm="1">
        <f t="array" aca="1" ref="L19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20" spans="1:12" x14ac:dyDescent="0.2">
      <c r="A20" s="2">
        <f t="shared" si="2"/>
        <v>7</v>
      </c>
      <c r="B20" s="19">
        <f t="shared" ca="1" si="3"/>
        <v>177721425.57566875</v>
      </c>
      <c r="C20" s="14">
        <f t="shared" ca="1" si="1"/>
        <v>-0.10328031371448677</v>
      </c>
      <c r="D20" s="14">
        <f t="shared" ca="1" si="0"/>
        <v>6.8473700420532607E-2</v>
      </c>
      <c r="E20" s="19">
        <f t="shared" ca="1" si="4"/>
        <v>790443.05501119397</v>
      </c>
      <c r="F20" s="19">
        <f t="shared" ca="1" si="5"/>
        <v>844567.61595952115</v>
      </c>
      <c r="G20" s="3" t="b" cm="1">
        <f t="array" aca="1" ref="G20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20" s="2" t="str" cm="1">
        <f t="array" aca="1" ref="H20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20" s="19" cm="1">
        <f t="array" aca="1" ref="I20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711398.74951007462</v>
      </c>
      <c r="J20" s="19">
        <f t="shared" ca="1" si="6"/>
        <v>158654902.2389178</v>
      </c>
      <c r="K20" s="22">
        <f t="shared" ca="1" si="7"/>
        <v>-0.10728320052009131</v>
      </c>
      <c r="L20" s="9" t="str" cm="1">
        <f t="array" aca="1" ref="L20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21" spans="1:12" x14ac:dyDescent="0.2">
      <c r="A21" s="2">
        <f t="shared" si="2"/>
        <v>8</v>
      </c>
      <c r="B21" s="19">
        <f t="shared" ca="1" si="3"/>
        <v>158654902.2389178</v>
      </c>
      <c r="C21" s="14">
        <f t="shared" ca="1" si="1"/>
        <v>0.10309378671512205</v>
      </c>
      <c r="D21" s="14">
        <f t="shared" ca="1" si="0"/>
        <v>6.5221553034063157E-2</v>
      </c>
      <c r="E21" s="19">
        <f t="shared" ca="1" si="4"/>
        <v>711398.74951007462</v>
      </c>
      <c r="F21" s="19">
        <f t="shared" ca="1" si="5"/>
        <v>757797.28077961213</v>
      </c>
      <c r="G21" s="3" t="b" cm="1">
        <f t="array" aca="1" ref="G21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21" s="2" t="str" cm="1">
        <f t="array" aca="1" ref="H21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21" s="19" cm="1">
        <f t="array" aca="1" ref="I21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640258.87455906719</v>
      </c>
      <c r="J21" s="19">
        <f ca="1">B21*(1+C21)-I21</f>
        <v>174370978.01708624</v>
      </c>
      <c r="K21" s="22">
        <f t="shared" ca="1" si="7"/>
        <v>9.9058242489738282E-2</v>
      </c>
      <c r="L21" s="9" t="str" cm="1">
        <f t="array" aca="1" ref="L21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22" spans="1:12" x14ac:dyDescent="0.2">
      <c r="A22" s="2">
        <f t="shared" si="2"/>
        <v>9</v>
      </c>
      <c r="B22" s="19">
        <f t="shared" ca="1" si="3"/>
        <v>174370978.01708624</v>
      </c>
      <c r="C22" s="14">
        <f t="shared" ca="1" si="1"/>
        <v>2.4647555947020783E-2</v>
      </c>
      <c r="D22" s="14">
        <f t="shared" ca="1" si="0"/>
        <v>0.13898964300779504</v>
      </c>
      <c r="E22" s="19">
        <f t="shared" ca="1" si="4"/>
        <v>640258.87455906719</v>
      </c>
      <c r="F22" s="19">
        <f t="shared" ca="1" si="5"/>
        <v>729248.22696660459</v>
      </c>
      <c r="G22" s="3" t="b" cm="1">
        <f t="array" aca="1" ref="G22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22" s="2" t="str" cm="1">
        <f t="array" aca="1" ref="H22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22" s="19" cm="1">
        <f t="array" aca="1" ref="I22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682017.552701651</v>
      </c>
      <c r="J22" s="19">
        <f t="shared" ca="1" si="6"/>
        <v>177986778.90059745</v>
      </c>
      <c r="K22" s="22">
        <f t="shared" ca="1" si="7"/>
        <v>2.0736253960546753E-2</v>
      </c>
      <c r="L22" s="9" t="str" cm="1">
        <f t="array" aca="1" ref="L22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23" spans="1:12" x14ac:dyDescent="0.2">
      <c r="A23" s="2">
        <f t="shared" si="2"/>
        <v>10</v>
      </c>
      <c r="B23" s="19">
        <f t="shared" ca="1" si="3"/>
        <v>177986778.90059745</v>
      </c>
      <c r="C23" s="14">
        <f t="shared" ca="1" si="1"/>
        <v>0.17149713143081108</v>
      </c>
      <c r="D23" s="14">
        <f t="shared" ca="1" si="0"/>
        <v>0.15684418220695942</v>
      </c>
      <c r="E23" s="19">
        <f t="shared" ca="1" si="4"/>
        <v>682017.552701651</v>
      </c>
      <c r="F23" s="19">
        <f t="shared" ca="1" si="5"/>
        <v>788988.0380059334</v>
      </c>
      <c r="G23" s="3" t="b" cm="1">
        <f t="array" aca="1" ref="G23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23" s="2" t="str" cm="1">
        <f t="array" aca="1" ref="H23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23" s="19" cm="1">
        <f t="array" aca="1" ref="I23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613815.79743148596</v>
      </c>
      <c r="J23" s="19">
        <f t="shared" ca="1" si="6"/>
        <v>207897185.11722845</v>
      </c>
      <c r="K23" s="22">
        <f t="shared" ca="1" si="7"/>
        <v>0.16804847192237488</v>
      </c>
      <c r="L23" s="9" t="str" cm="1">
        <f t="array" aca="1" ref="L23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24" spans="1:12" x14ac:dyDescent="0.2">
      <c r="A24" s="2">
        <f t="shared" si="2"/>
        <v>11</v>
      </c>
      <c r="B24" s="19">
        <f t="shared" ca="1" si="3"/>
        <v>207897185.11722845</v>
      </c>
      <c r="C24" s="14">
        <f t="shared" ca="1" si="1"/>
        <v>-1.4102809619473133E-3</v>
      </c>
      <c r="D24" s="14">
        <f t="shared" ca="1" si="0"/>
        <v>6.3729310254213384E-2</v>
      </c>
      <c r="E24" s="19">
        <f t="shared" ca="1" si="4"/>
        <v>613815.79743148596</v>
      </c>
      <c r="F24" s="19">
        <f t="shared" ca="1" si="5"/>
        <v>652933.8548249345</v>
      </c>
      <c r="G24" s="3" t="b" cm="1">
        <f t="array" aca="1" ref="G24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24" s="2" t="str" cm="1">
        <f t="array" aca="1" ref="H24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24" s="19" cm="1">
        <f t="array" aca="1" ref="I24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710089.23420534004</v>
      </c>
      <c r="J24" s="19">
        <f t="shared" ca="1" si="6"/>
        <v>206893902.44080985</v>
      </c>
      <c r="K24" s="22">
        <f t="shared" ca="1" si="7"/>
        <v>-4.8258598395782724E-3</v>
      </c>
      <c r="L24" s="9" t="str" cm="1">
        <f t="array" aca="1" ref="L24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25" spans="1:12" x14ac:dyDescent="0.2">
      <c r="A25" s="2">
        <f t="shared" si="2"/>
        <v>12</v>
      </c>
      <c r="B25" s="19">
        <f t="shared" ca="1" si="3"/>
        <v>206893902.44080985</v>
      </c>
      <c r="C25" s="14">
        <f t="shared" ca="1" si="1"/>
        <v>0.39823907132443853</v>
      </c>
      <c r="D25" s="14">
        <f t="shared" ca="1" si="0"/>
        <v>7.0189024464752961E-2</v>
      </c>
      <c r="E25" s="19">
        <f t="shared" ca="1" si="4"/>
        <v>710089.23420534004</v>
      </c>
      <c r="F25" s="19">
        <f t="shared" ca="1" si="5"/>
        <v>759929.70483713632</v>
      </c>
      <c r="G25" s="3" t="b" cm="1">
        <f t="array" aca="1" ref="G25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25" s="2" t="str" cm="1">
        <f t="array" aca="1" ref="H25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25" s="19" cm="1">
        <f t="array" aca="1" ref="I25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639080.31078480603</v>
      </c>
      <c r="J25" s="19">
        <f t="shared" ca="1" si="6"/>
        <v>288648057.70074213</v>
      </c>
      <c r="K25" s="22">
        <f t="shared" ca="1" si="7"/>
        <v>0.39515014360232908</v>
      </c>
      <c r="L25" s="9" t="str" cm="1">
        <f t="array" aca="1" ref="L25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26" spans="1:12" x14ac:dyDescent="0.2">
      <c r="A26" s="2">
        <f t="shared" si="2"/>
        <v>13</v>
      </c>
      <c r="B26" s="19">
        <f t="shared" ca="1" si="3"/>
        <v>288648057.70074213</v>
      </c>
      <c r="C26" s="14">
        <f t="shared" ca="1" si="1"/>
        <v>0.21574856027142703</v>
      </c>
      <c r="D26" s="14">
        <f t="shared" ca="1" si="0"/>
        <v>6.6957031905531983E-2</v>
      </c>
      <c r="E26" s="19">
        <f t="shared" ca="1" si="4"/>
        <v>639080.31078480603</v>
      </c>
      <c r="F26" s="19">
        <f t="shared" ca="1" si="5"/>
        <v>681871.23154422152</v>
      </c>
      <c r="G26" s="3" t="b" cm="1">
        <f t="array" aca="1" ref="G26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26" s="2" t="str" cm="1">
        <f t="array" aca="1" ref="H26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26" s="19" cm="1">
        <f t="array" aca="1" ref="I26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718133.57107109379</v>
      </c>
      <c r="J26" s="19">
        <f t="shared" ca="1" si="6"/>
        <v>350205327.00374997</v>
      </c>
      <c r="K26" s="22">
        <f t="shared" ca="1" si="7"/>
        <v>0.21326063924818703</v>
      </c>
      <c r="L26" s="9" t="str" cm="1">
        <f t="array" aca="1" ref="L26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27" spans="1:12" x14ac:dyDescent="0.2">
      <c r="A27" s="2">
        <f t="shared" si="2"/>
        <v>14</v>
      </c>
      <c r="B27" s="19">
        <f t="shared" ca="1" si="3"/>
        <v>350205327.00374997</v>
      </c>
      <c r="C27" s="14">
        <f t="shared" ca="1" si="1"/>
        <v>0.10392234729391192</v>
      </c>
      <c r="D27" s="14">
        <f t="shared" ca="1" si="0"/>
        <v>0.16913743235657711</v>
      </c>
      <c r="E27" s="19">
        <f t="shared" ca="1" si="4"/>
        <v>718133.57107109379</v>
      </c>
      <c r="F27" s="19">
        <f t="shared" ca="1" si="5"/>
        <v>839596.839371118</v>
      </c>
      <c r="G27" s="3" t="b" cm="1">
        <f t="array" aca="1" ref="G27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27" s="2" t="str" cm="1">
        <f t="array" aca="1" ref="H27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27" s="19" cm="1">
        <f t="array" aca="1" ref="I27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804528.54667682142</v>
      </c>
      <c r="J27" s="19">
        <f t="shared" ca="1" si="6"/>
        <v>385794958.07413483</v>
      </c>
      <c r="K27" s="22">
        <f t="shared" ca="1" si="7"/>
        <v>0.10162504201429172</v>
      </c>
      <c r="L27" s="9" t="str" cm="1">
        <f t="array" aca="1" ref="L27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28" spans="1:12" x14ac:dyDescent="0.2">
      <c r="A28" s="2">
        <f t="shared" si="2"/>
        <v>15</v>
      </c>
      <c r="B28" s="19">
        <f t="shared" ca="1" si="3"/>
        <v>385794958.07413483</v>
      </c>
      <c r="C28" s="14">
        <f t="shared" ca="1" si="1"/>
        <v>6.9261161832289253E-2</v>
      </c>
      <c r="D28" s="14">
        <f t="shared" ca="1" si="0"/>
        <v>5.8483178796489219E-2</v>
      </c>
      <c r="E28" s="19">
        <f t="shared" ca="1" si="4"/>
        <v>804528.54667682142</v>
      </c>
      <c r="F28" s="19">
        <f t="shared" ca="1" si="5"/>
        <v>851579.93351900158</v>
      </c>
      <c r="G28" s="3" t="b" cm="1">
        <f t="array" aca="1" ref="G28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28" s="2" t="str" cm="1">
        <f t="array" aca="1" ref="H28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28" s="19" cm="1">
        <f t="array" aca="1" ref="I28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724075.69200913934</v>
      </c>
      <c r="J28" s="19">
        <f t="shared" ca="1" si="6"/>
        <v>411791489.40737963</v>
      </c>
      <c r="K28" s="22">
        <f t="shared" ca="1" si="7"/>
        <v>6.7384321099005329E-2</v>
      </c>
      <c r="L28" s="9" t="str" cm="1">
        <f t="array" aca="1" ref="L28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29" spans="1:12" x14ac:dyDescent="0.2">
      <c r="A29" s="2">
        <f t="shared" si="2"/>
        <v>16</v>
      </c>
      <c r="B29" s="19">
        <f t="shared" ca="1" si="3"/>
        <v>411791489.40737963</v>
      </c>
      <c r="C29" s="14">
        <f t="shared" ca="1" si="1"/>
        <v>-6.2572609131218523E-2</v>
      </c>
      <c r="D29" s="14">
        <f t="shared" ca="1" si="0"/>
        <v>9.7471089069063613E-2</v>
      </c>
      <c r="E29" s="19">
        <f t="shared" ca="1" si="4"/>
        <v>724075.69200913934</v>
      </c>
      <c r="F29" s="19">
        <f t="shared" ca="1" si="5"/>
        <v>794652.13827770599</v>
      </c>
      <c r="G29" s="3" t="b" cm="1">
        <f t="array" aca="1" ref="G29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29" s="2" t="str" cm="1">
        <f t="array" aca="1" ref="H29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29" s="19" cm="1">
        <f t="array" aca="1" ref="I29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766421.94016710145</v>
      </c>
      <c r="J29" s="19">
        <f t="shared" ca="1" si="6"/>
        <v>385258199.55696219</v>
      </c>
      <c r="K29" s="22">
        <f t="shared" ca="1" si="7"/>
        <v>-6.4433798494966998E-2</v>
      </c>
      <c r="L29" s="9" t="str" cm="1">
        <f t="array" aca="1" ref="L29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30" spans="1:12" x14ac:dyDescent="0.2">
      <c r="A30" s="2">
        <f t="shared" si="2"/>
        <v>17</v>
      </c>
      <c r="B30" s="19">
        <f t="shared" ca="1" si="3"/>
        <v>385258199.55696219</v>
      </c>
      <c r="C30" s="14">
        <f t="shared" ca="1" si="1"/>
        <v>-8.4748267550948678E-2</v>
      </c>
      <c r="D30" s="14">
        <f t="shared" ca="1" si="0"/>
        <v>0.11492507280286815</v>
      </c>
      <c r="E30" s="19">
        <f t="shared" ca="1" si="4"/>
        <v>766421.94016710145</v>
      </c>
      <c r="F30" s="19">
        <f t="shared" ca="1" si="5"/>
        <v>854503.03743852105</v>
      </c>
      <c r="G30" s="3" t="b" cm="1">
        <f t="array" aca="1" ref="G30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30" s="2" t="str" cm="1">
        <f t="array" aca="1" ref="H30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30" s="19" cm="1">
        <f t="array" aca="1" ref="I30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689779.74615039129</v>
      </c>
      <c r="J30" s="19">
        <f t="shared" ca="1" si="6"/>
        <v>351918454.83856159</v>
      </c>
      <c r="K30" s="22">
        <f t="shared" ca="1" si="7"/>
        <v>-8.6538702503257597E-2</v>
      </c>
      <c r="L30" s="9" t="str" cm="1">
        <f t="array" aca="1" ref="L30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31" spans="1:12" x14ac:dyDescent="0.2">
      <c r="A31" s="2">
        <f t="shared" si="2"/>
        <v>18</v>
      </c>
      <c r="B31" s="19">
        <f t="shared" ca="1" si="3"/>
        <v>351918454.83856159</v>
      </c>
      <c r="C31" s="14">
        <f t="shared" ca="1" si="1"/>
        <v>3.7202491884135255E-2</v>
      </c>
      <c r="D31" s="14">
        <f t="shared" ca="1" si="0"/>
        <v>6.9135059764749748E-2</v>
      </c>
      <c r="E31" s="19">
        <f t="shared" ca="1" si="4"/>
        <v>689779.74615039129</v>
      </c>
      <c r="F31" s="19">
        <f t="shared" ca="1" si="5"/>
        <v>737467.71012501256</v>
      </c>
      <c r="G31" s="3" t="b" cm="1">
        <f t="array" aca="1" ref="G31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31" s="2" t="str" cm="1">
        <f t="array" aca="1" ref="H31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31" s="19" cm="1">
        <f t="array" aca="1" ref="I31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620801.77153535222</v>
      </c>
      <c r="J31" s="19">
        <f t="shared" ca="1" si="6"/>
        <v>364389896.52703524</v>
      </c>
      <c r="K31" s="22">
        <f t="shared" ca="1" si="7"/>
        <v>3.5438441823674088E-2</v>
      </c>
      <c r="L31" s="9" t="str" cm="1">
        <f t="array" aca="1" ref="L31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32" spans="1:12" x14ac:dyDescent="0.2">
      <c r="A32" s="2">
        <f t="shared" si="2"/>
        <v>19</v>
      </c>
      <c r="B32" s="19">
        <f t="shared" ca="1" si="3"/>
        <v>364389896.52703524</v>
      </c>
      <c r="C32" s="14">
        <f t="shared" ca="1" si="1"/>
        <v>0.13697996852275707</v>
      </c>
      <c r="D32" s="14">
        <f t="shared" ca="1" si="0"/>
        <v>5.9114389913061567E-2</v>
      </c>
      <c r="E32" s="19">
        <f t="shared" ca="1" si="4"/>
        <v>620801.77153535222</v>
      </c>
      <c r="F32" s="19">
        <f t="shared" ca="1" si="5"/>
        <v>657500.08951661235</v>
      </c>
      <c r="G32" s="3" t="b" cm="1">
        <f t="array" aca="1" ref="G32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32" s="2" t="str" cm="1">
        <f t="array" aca="1" ref="H32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32" s="19" cm="1">
        <f t="array" aca="1" ref="I32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663720.93911251135</v>
      </c>
      <c r="J32" s="19">
        <f t="shared" ca="1" si="6"/>
        <v>413640292.14420676</v>
      </c>
      <c r="K32" s="22">
        <f t="shared" ca="1" si="7"/>
        <v>0.1351585103938728</v>
      </c>
      <c r="L32" s="9" t="str" cm="1">
        <f t="array" aca="1" ref="L32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33" spans="1:12" x14ac:dyDescent="0.2">
      <c r="A33" s="2">
        <f t="shared" si="2"/>
        <v>20</v>
      </c>
      <c r="B33" s="19">
        <f t="shared" ca="1" si="3"/>
        <v>413640292.14420676</v>
      </c>
      <c r="C33" s="14">
        <f t="shared" ca="1" si="1"/>
        <v>-0.11725660584846113</v>
      </c>
      <c r="D33" s="14">
        <f t="shared" ca="1" si="0"/>
        <v>6.4389074591135312E-2</v>
      </c>
      <c r="E33" s="19">
        <f t="shared" ca="1" si="4"/>
        <v>663720.93911251135</v>
      </c>
      <c r="F33" s="19">
        <f t="shared" ca="1" si="5"/>
        <v>706457.31616872526</v>
      </c>
      <c r="G33" s="3" t="b" cm="1">
        <f t="array" aca="1" ref="G33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33" s="2" t="str" cm="1">
        <f t="array" aca="1" ref="H33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33" s="19" cm="1">
        <f t="array" aca="1" ref="I33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738104.21737570525</v>
      </c>
      <c r="J33" s="19">
        <f t="shared" ca="1" si="6"/>
        <v>364400131.22783554</v>
      </c>
      <c r="K33" s="22">
        <f t="shared" ca="1" si="7"/>
        <v>-0.11904101667930528</v>
      </c>
      <c r="L33" s="9" t="str" cm="1">
        <f t="array" aca="1" ref="L33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34" spans="1:12" x14ac:dyDescent="0.2">
      <c r="A34" s="2">
        <f t="shared" si="2"/>
        <v>21</v>
      </c>
      <c r="B34" s="19">
        <f t="shared" ca="1" si="3"/>
        <v>364400131.22783554</v>
      </c>
      <c r="C34" s="14">
        <f t="shared" ca="1" si="1"/>
        <v>2.1673467587198458E-2</v>
      </c>
      <c r="D34" s="14">
        <f t="shared" ca="1" si="0"/>
        <v>7.1156565277044254E-2</v>
      </c>
      <c r="E34" s="19">
        <f t="shared" ca="1" si="4"/>
        <v>738104.21737570525</v>
      </c>
      <c r="F34" s="19">
        <f t="shared" ca="1" si="5"/>
        <v>790625.17830066127</v>
      </c>
      <c r="G34" s="3" t="b" cm="1">
        <f t="array" aca="1" ref="G34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34" s="2" t="str" cm="1">
        <f t="array" aca="1" ref="H34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34" s="19" cm="1">
        <f t="array" aca="1" ref="I34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664293.7956381347</v>
      </c>
      <c r="J34" s="19">
        <f t="shared" ca="1" si="6"/>
        <v>371633651.86513478</v>
      </c>
      <c r="K34" s="22">
        <f t="shared" ca="1" si="7"/>
        <v>1.9850488563014794E-2</v>
      </c>
      <c r="L34" s="9" t="str" cm="1">
        <f t="array" aca="1" ref="L34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35" spans="1:12" x14ac:dyDescent="0.2">
      <c r="A35" s="2">
        <f t="shared" si="2"/>
        <v>22</v>
      </c>
      <c r="B35" s="19">
        <f t="shared" ca="1" si="3"/>
        <v>371633651.86513478</v>
      </c>
      <c r="C35" s="14">
        <f t="shared" ca="1" si="1"/>
        <v>3.2302137606887604E-2</v>
      </c>
      <c r="D35" s="14">
        <f t="shared" ca="1" si="0"/>
        <v>7.5627308053123052E-2</v>
      </c>
      <c r="E35" s="19">
        <f t="shared" ca="1" si="4"/>
        <v>664293.7956381347</v>
      </c>
      <c r="F35" s="19">
        <f t="shared" ca="1" si="5"/>
        <v>714532.54715863836</v>
      </c>
      <c r="G35" s="3" t="b" cm="1">
        <f t="array" aca="1" ref="G35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35" s="2" t="str" cm="1">
        <f t="array" aca="1" ref="H35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35" s="19" cm="1">
        <f t="array" aca="1" ref="I35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711562.66047059512</v>
      </c>
      <c r="J35" s="19">
        <f t="shared" ca="1" si="6"/>
        <v>382926650.56656194</v>
      </c>
      <c r="K35" s="22">
        <f t="shared" ca="1" si="7"/>
        <v>3.0387449157928712E-2</v>
      </c>
      <c r="L35" s="9" t="str" cm="1">
        <f t="array" aca="1" ref="L35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36" spans="1:12" x14ac:dyDescent="0.2">
      <c r="A36" s="2">
        <f t="shared" si="2"/>
        <v>23</v>
      </c>
      <c r="B36" s="19">
        <f t="shared" ca="1" si="3"/>
        <v>382926650.56656194</v>
      </c>
      <c r="C36" s="14">
        <f t="shared" ca="1" si="1"/>
        <v>-1.1871242779852673E-2</v>
      </c>
      <c r="D36" s="14">
        <f t="shared" ca="1" si="0"/>
        <v>6.6134871504292675E-2</v>
      </c>
      <c r="E36" s="19">
        <f t="shared" ca="1" si="4"/>
        <v>711562.66047059512</v>
      </c>
      <c r="F36" s="19">
        <f t="shared" ca="1" si="5"/>
        <v>758621.7655880705</v>
      </c>
      <c r="G36" s="3" t="b" cm="1">
        <f t="array" aca="1" ref="G36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36" s="2" t="str" cm="1">
        <f t="array" aca="1" ref="H36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36" s="19" cm="1">
        <f t="array" aca="1" ref="I36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765376.22899310465</v>
      </c>
      <c r="J36" s="19">
        <f t="shared" ca="1" si="6"/>
        <v>377615459.10181737</v>
      </c>
      <c r="K36" s="22">
        <f t="shared" ca="1" si="7"/>
        <v>-1.3869996922090316E-2</v>
      </c>
      <c r="L36" s="9" t="str" cm="1">
        <f t="array" aca="1" ref="L36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37" spans="1:12" x14ac:dyDescent="0.2">
      <c r="A37" s="2">
        <f t="shared" si="2"/>
        <v>24</v>
      </c>
      <c r="B37" s="19">
        <f t="shared" ca="1" si="3"/>
        <v>377615459.10181737</v>
      </c>
      <c r="C37" s="14">
        <f t="shared" ca="1" si="1"/>
        <v>0.18336205147997117</v>
      </c>
      <c r="D37" s="14">
        <f t="shared" ca="1" si="0"/>
        <v>5.6762598540096777E-2</v>
      </c>
      <c r="E37" s="19">
        <f t="shared" ca="1" si="4"/>
        <v>765376.22899310465</v>
      </c>
      <c r="F37" s="19">
        <f t="shared" ca="1" si="5"/>
        <v>808820.97261157341</v>
      </c>
      <c r="G37" s="3" t="b" cm="1">
        <f t="array" aca="1" ref="G37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37" s="2" t="str" cm="1">
        <f t="array" aca="1" ref="H37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37" s="19" cm="1">
        <f t="array" aca="1" ref="I37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688838.60609379422</v>
      </c>
      <c r="J37" s="19">
        <f t="shared" ca="1" si="6"/>
        <v>446166965.74718392</v>
      </c>
      <c r="K37" s="22">
        <f t="shared" ca="1" si="7"/>
        <v>0.18153787137957941</v>
      </c>
      <c r="L37" s="9" t="str" cm="1">
        <f t="array" aca="1" ref="L37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38" spans="1:12" x14ac:dyDescent="0.2">
      <c r="A38" s="2">
        <f t="shared" si="2"/>
        <v>25</v>
      </c>
      <c r="B38" s="19">
        <f t="shared" ca="1" si="3"/>
        <v>446166965.74718392</v>
      </c>
      <c r="C38" s="14">
        <f t="shared" ca="1" si="1"/>
        <v>0.32921119037067165</v>
      </c>
      <c r="D38" s="14">
        <f t="shared" ca="1" si="0"/>
        <v>0.11046696218376642</v>
      </c>
      <c r="E38" s="19">
        <f t="shared" ca="1" si="4"/>
        <v>688838.60609379422</v>
      </c>
      <c r="F38" s="19">
        <f t="shared" ca="1" si="5"/>
        <v>764932.51434387569</v>
      </c>
      <c r="G38" s="3" t="b" cm="1">
        <f t="array" aca="1" ref="G38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38" s="2" t="str" cm="1">
        <f t="array" aca="1" ref="H38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38" s="19" cm="1">
        <f t="array" aca="1" ref="I38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764335.819117937</v>
      </c>
      <c r="J38" s="19">
        <f t="shared" ca="1" si="6"/>
        <v>592285787.82576704</v>
      </c>
      <c r="K38" s="22">
        <f t="shared" ca="1" si="7"/>
        <v>0.32749807425541205</v>
      </c>
      <c r="L38" s="9" t="str" cm="1">
        <f t="array" aca="1" ref="L38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39" spans="1:12" x14ac:dyDescent="0.2">
      <c r="A39" s="2">
        <f t="shared" si="2"/>
        <v>26</v>
      </c>
      <c r="B39" s="19">
        <f t="shared" ca="1" si="3"/>
        <v>592285787.82576704</v>
      </c>
      <c r="C39" s="14">
        <f t="shared" ca="1" si="1"/>
        <v>8.0420077744690815E-2</v>
      </c>
      <c r="D39" s="14">
        <f t="shared" ca="1" si="0"/>
        <v>0.10153997594690498</v>
      </c>
      <c r="E39" s="19">
        <f t="shared" ca="1" si="4"/>
        <v>764335.819117937</v>
      </c>
      <c r="F39" s="19">
        <f t="shared" ca="1" si="5"/>
        <v>841946.45980653015</v>
      </c>
      <c r="G39" s="3" t="b" cm="1">
        <f t="array" aca="1" ref="G39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39" s="2" t="str" cm="1">
        <f t="array" aca="1" ref="H39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39" s="19" cm="1">
        <f t="array" aca="1" ref="I39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891208.15890134312</v>
      </c>
      <c r="J39" s="19">
        <f t="shared" ca="1" si="6"/>
        <v>639026248.7708894</v>
      </c>
      <c r="K39" s="22">
        <f t="shared" ca="1" si="7"/>
        <v>7.8915384947362638E-2</v>
      </c>
      <c r="L39" s="9" t="str" cm="1">
        <f t="array" aca="1" ref="L39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40" spans="1:12" x14ac:dyDescent="0.2">
      <c r="A40" s="2">
        <f t="shared" si="2"/>
        <v>27</v>
      </c>
      <c r="B40" s="19">
        <f t="shared" ca="1" si="3"/>
        <v>639026248.7708894</v>
      </c>
      <c r="C40" s="14">
        <f t="shared" ca="1" si="1"/>
        <v>9.4938935226186599E-3</v>
      </c>
      <c r="D40" s="14">
        <f t="shared" ca="1" si="0"/>
        <v>9.3386969439983925E-2</v>
      </c>
      <c r="E40" s="19">
        <f t="shared" ca="1" si="4"/>
        <v>891208.15890134312</v>
      </c>
      <c r="F40" s="19">
        <f t="shared" ca="1" si="5"/>
        <v>974435.38800132729</v>
      </c>
      <c r="G40" s="3" t="b" cm="1">
        <f t="array" aca="1" ref="G40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0" s="2" t="str" cm="1">
        <f t="array" aca="1" ref="H40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40" s="19" cm="1">
        <f t="array" aca="1" ref="I40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981701.41391987086</v>
      </c>
      <c r="J40" s="19">
        <f t="shared" ca="1" si="6"/>
        <v>644111394.52095878</v>
      </c>
      <c r="K40" s="22">
        <f t="shared" ca="1" si="7"/>
        <v>7.9576476863825376E-3</v>
      </c>
      <c r="L40" s="9" t="str" cm="1">
        <f t="array" aca="1" ref="L40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41" spans="1:12" x14ac:dyDescent="0.2">
      <c r="A41" s="2">
        <f t="shared" si="2"/>
        <v>28</v>
      </c>
      <c r="B41" s="19">
        <f t="shared" ca="1" si="3"/>
        <v>644111394.52095878</v>
      </c>
      <c r="C41" s="14">
        <f t="shared" ca="1" si="1"/>
        <v>0.45210682220303511</v>
      </c>
      <c r="D41" s="14">
        <f t="shared" ca="1" si="0"/>
        <v>7.7973079563367825E-2</v>
      </c>
      <c r="E41" s="19">
        <f t="shared" ca="1" si="4"/>
        <v>981701.41391987086</v>
      </c>
      <c r="F41" s="19">
        <f t="shared" ca="1" si="5"/>
        <v>1058247.6963749155</v>
      </c>
      <c r="G41" s="3" t="b" cm="1">
        <f t="array" aca="1" ref="G41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41" s="2" t="str" cm="1">
        <f t="array" aca="1" ref="H41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41" s="19" cm="1">
        <f t="array" aca="1" ref="I41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883531.27252788376</v>
      </c>
      <c r="J41" s="19">
        <f t="shared" ca="1" si="6"/>
        <v>934435018.97006691</v>
      </c>
      <c r="K41" s="22">
        <f t="shared" ca="1" si="7"/>
        <v>0.45073511650112763</v>
      </c>
      <c r="L41" s="9" t="str" cm="1">
        <f t="array" aca="1" ref="L41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42" spans="1:12" x14ac:dyDescent="0.2">
      <c r="A42" s="2">
        <f t="shared" si="2"/>
        <v>29</v>
      </c>
      <c r="B42" s="19">
        <f t="shared" ca="1" si="3"/>
        <v>934435018.97006691</v>
      </c>
      <c r="C42" s="14">
        <f t="shared" ca="1" si="1"/>
        <v>9.0879843573556413E-2</v>
      </c>
      <c r="D42" s="14">
        <f t="shared" ca="1" si="0"/>
        <v>8.4305870063461297E-2</v>
      </c>
      <c r="E42" s="19">
        <f t="shared" ca="1" si="4"/>
        <v>883531.27252788376</v>
      </c>
      <c r="F42" s="19">
        <f t="shared" ca="1" si="5"/>
        <v>958018.14518662414</v>
      </c>
      <c r="G42" s="3" t="b" cm="1">
        <f t="array" aca="1" ref="G42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2" s="2" t="str" cm="1">
        <f t="array" aca="1" ref="H42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42" s="19" cm="1">
        <f t="array" aca="1" ref="I42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1000044.0730742952</v>
      </c>
      <c r="J42" s="19">
        <f t="shared" ca="1" si="6"/>
        <v>1018356283.2506455</v>
      </c>
      <c r="K42" s="22">
        <f t="shared" ca="1" si="7"/>
        <v>8.9809631035742354E-2</v>
      </c>
      <c r="L42" s="9" t="str" cm="1">
        <f t="array" aca="1" ref="L42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43" spans="1:12" x14ac:dyDescent="0.2">
      <c r="A43" s="2">
        <f t="shared" si="2"/>
        <v>30</v>
      </c>
      <c r="B43" s="19">
        <f t="shared" ca="1" si="3"/>
        <v>1018356283.2506455</v>
      </c>
      <c r="C43" s="14">
        <f t="shared" ca="1" si="1"/>
        <v>-0.1055986706245985</v>
      </c>
      <c r="D43" s="14">
        <f t="shared" ca="1" si="0"/>
        <v>9.6428619479513533E-2</v>
      </c>
      <c r="E43" s="19">
        <f t="shared" ca="1" si="4"/>
        <v>1000044.0730742952</v>
      </c>
      <c r="F43" s="19">
        <f t="shared" ca="1" si="5"/>
        <v>1096476.942459519</v>
      </c>
      <c r="G43" s="3" t="b" cm="1">
        <f t="array" aca="1" ref="G43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3" s="2" t="str" cm="1">
        <f t="array" aca="1" ref="H43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43" s="19" cm="1">
        <f t="array" aca="1" ref="I43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1084353.6587566314</v>
      </c>
      <c r="J43" s="19">
        <f t="shared" ca="1" si="6"/>
        <v>909734859.8584137</v>
      </c>
      <c r="K43" s="22">
        <f t="shared" ca="1" si="7"/>
        <v>-0.10666347837075907</v>
      </c>
      <c r="L43" s="9" t="str" cm="1">
        <f t="array" aca="1" ref="L43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44" spans="1:12" x14ac:dyDescent="0.2">
      <c r="A44" s="2">
        <f t="shared" si="2"/>
        <v>31</v>
      </c>
      <c r="B44" s="19">
        <f t="shared" ca="1" si="3"/>
        <v>909734859.8584137</v>
      </c>
      <c r="C44" s="14">
        <f t="shared" ca="1" si="1"/>
        <v>0.21918520538762648</v>
      </c>
      <c r="D44" s="14">
        <f t="shared" ca="1" si="0"/>
        <v>6.705767143724721E-2</v>
      </c>
      <c r="E44" s="19">
        <f t="shared" ca="1" si="4"/>
        <v>1084353.6587566314</v>
      </c>
      <c r="F44" s="19">
        <f t="shared" ca="1" si="5"/>
        <v>1157067.8901273105</v>
      </c>
      <c r="G44" s="3" t="b" cm="1">
        <f t="array" aca="1" ref="G44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44" s="2" t="str" cm="1">
        <f t="array" aca="1" ref="H44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44" s="19" cm="1">
        <f t="array" aca="1" ref="I44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975918.29288096831</v>
      </c>
      <c r="J44" s="19">
        <f t="shared" ca="1" si="6"/>
        <v>1108159363.6718826</v>
      </c>
      <c r="K44" s="22">
        <f t="shared" ca="1" si="7"/>
        <v>0.21811245514363456</v>
      </c>
      <c r="L44" s="9" t="str" cm="1">
        <f t="array" aca="1" ref="L44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45" spans="1:12" x14ac:dyDescent="0.2">
      <c r="A45" s="2">
        <f t="shared" si="2"/>
        <v>32</v>
      </c>
      <c r="B45" s="19">
        <f t="shared" ca="1" si="3"/>
        <v>1108159363.6718826</v>
      </c>
      <c r="C45" s="14">
        <f t="shared" ca="1" si="1"/>
        <v>9.5525291528655132E-2</v>
      </c>
      <c r="D45" s="14">
        <f t="shared" ca="1" si="0"/>
        <v>7.4601745426200558E-2</v>
      </c>
      <c r="E45" s="19">
        <f t="shared" ca="1" si="4"/>
        <v>975918.29288096831</v>
      </c>
      <c r="F45" s="19">
        <f t="shared" ca="1" si="5"/>
        <v>1048723.5009232464</v>
      </c>
      <c r="G45" s="3" t="b" cm="1">
        <f t="array" aca="1" ref="G45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5" s="2" t="str" cm="1">
        <f t="array" aca="1" ref="H45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45" s="19" cm="1">
        <f t="array" aca="1" ref="I45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1093429.1561703086</v>
      </c>
      <c r="J45" s="19">
        <f t="shared" ca="1" si="6"/>
        <v>1212923180.7906778</v>
      </c>
      <c r="K45" s="22">
        <f t="shared" ca="1" si="7"/>
        <v>9.4538584027897013E-2</v>
      </c>
      <c r="L45" s="9" t="str" cm="1">
        <f t="array" aca="1" ref="L45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46" spans="1:12" x14ac:dyDescent="0.2">
      <c r="A46" s="2">
        <f t="shared" si="2"/>
        <v>33</v>
      </c>
      <c r="B46" s="19">
        <f t="shared" ca="1" si="3"/>
        <v>1212923180.7906778</v>
      </c>
      <c r="C46" s="14">
        <f t="shared" ca="1" si="1"/>
        <v>0.2102967877447933</v>
      </c>
      <c r="D46" s="14">
        <f t="shared" ca="1" si="0"/>
        <v>6.9547341338213706E-2</v>
      </c>
      <c r="E46" s="19">
        <f t="shared" ca="1" si="4"/>
        <v>1093429.1561703086</v>
      </c>
      <c r="F46" s="19">
        <f t="shared" ca="1" si="5"/>
        <v>1169474.2469236401</v>
      </c>
      <c r="G46" s="3" t="b" cm="1">
        <f t="array" aca="1" ref="G46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6" s="2" t="str" cm="1">
        <f t="array" aca="1" ref="H46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46" s="19" cm="1">
        <f t="array" aca="1" ref="I46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1175000.8797205111</v>
      </c>
      <c r="J46" s="19">
        <f t="shared" ca="1" si="6"/>
        <v>1466822028.6124339</v>
      </c>
      <c r="K46" s="22">
        <f t="shared" ca="1" si="7"/>
        <v>0.20932805295735638</v>
      </c>
      <c r="L46" s="9" t="str" cm="1">
        <f t="array" aca="1" ref="L46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47" spans="1:12" x14ac:dyDescent="0.2">
      <c r="A47" s="2">
        <f t="shared" si="2"/>
        <v>34</v>
      </c>
      <c r="B47" s="19">
        <f t="shared" ca="1" si="3"/>
        <v>1466822028.6124339</v>
      </c>
      <c r="C47" s="14">
        <f t="shared" ca="1" si="1"/>
        <v>2.7406348651013962E-2</v>
      </c>
      <c r="D47" s="14">
        <f t="shared" ca="1" si="0"/>
        <v>0.12431275693695581</v>
      </c>
      <c r="E47" s="19">
        <f t="shared" ca="1" si="4"/>
        <v>1175000.8797205111</v>
      </c>
      <c r="F47" s="19">
        <f t="shared" ca="1" si="5"/>
        <v>1321068.4784819162</v>
      </c>
      <c r="G47" s="3" t="b" cm="1">
        <f t="array" aca="1" ref="G47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7" s="2" t="str" cm="1">
        <f t="array" aca="1" ref="H47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47" s="19" cm="1">
        <f t="array" aca="1" ref="I47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1319555.0203238917</v>
      </c>
      <c r="J47" s="19">
        <f t="shared" ca="1" si="6"/>
        <v>1505702709.5172498</v>
      </c>
      <c r="K47" s="22">
        <f t="shared" ca="1" si="7"/>
        <v>2.6506747339754486E-2</v>
      </c>
      <c r="L47" s="9" t="str" cm="1">
        <f t="array" aca="1" ref="L47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48" spans="1:12" x14ac:dyDescent="0.2">
      <c r="A48" s="2">
        <f t="shared" si="2"/>
        <v>35</v>
      </c>
      <c r="B48" s="19">
        <f t="shared" ca="1" si="3"/>
        <v>1505702709.5172498</v>
      </c>
      <c r="C48" s="14">
        <f t="shared" ca="1" si="1"/>
        <v>5.7439227652118285E-2</v>
      </c>
      <c r="D48" s="14">
        <f t="shared" ca="1" si="0"/>
        <v>5.6260842610500079E-2</v>
      </c>
      <c r="E48" s="19">
        <f t="shared" ca="1" si="4"/>
        <v>1319555.0203238917</v>
      </c>
      <c r="F48" s="19">
        <f t="shared" ca="1" si="5"/>
        <v>1393794.2976382293</v>
      </c>
      <c r="G48" s="3" t="b" cm="1">
        <f t="array" aca="1" ref="G48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48" s="2" t="str" cm="1">
        <f t="array" aca="1" ref="H48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48" s="19" cm="1">
        <f t="array" aca="1" ref="I48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1187599.5182915025</v>
      </c>
      <c r="J48" s="19">
        <f t="shared" ca="1" si="6"/>
        <v>1591001510.7073309</v>
      </c>
      <c r="K48" s="22">
        <f t="shared" ca="1" si="7"/>
        <v>5.6650493255357925E-2</v>
      </c>
      <c r="L48" s="9" t="str" cm="1">
        <f t="array" aca="1" ref="L48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49" spans="1:12" x14ac:dyDescent="0.2">
      <c r="A49" s="2">
        <f t="shared" si="2"/>
        <v>36</v>
      </c>
      <c r="B49" s="19">
        <f t="shared" ca="1" si="3"/>
        <v>1591001510.7073309</v>
      </c>
      <c r="C49" s="14">
        <f t="shared" ca="1" si="1"/>
        <v>0.3442170503626622</v>
      </c>
      <c r="D49" s="14">
        <f t="shared" ca="1" si="0"/>
        <v>9.1591568949107471E-2</v>
      </c>
      <c r="E49" s="19">
        <f t="shared" ca="1" si="4"/>
        <v>1187599.5182915025</v>
      </c>
      <c r="F49" s="19">
        <f t="shared" ca="1" si="5"/>
        <v>1296373.6214550256</v>
      </c>
      <c r="G49" s="3" t="b" cm="1">
        <f t="array" aca="1" ref="G49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49" s="2" t="str" cm="1">
        <f t="array" aca="1" ref="H49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49" s="19" cm="1">
        <f t="array" aca="1" ref="I49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1254414.8678744063</v>
      </c>
      <c r="J49" s="19">
        <f t="shared" ca="1" si="6"/>
        <v>2137396942.9776735</v>
      </c>
      <c r="K49" s="22">
        <f t="shared" ca="1" si="7"/>
        <v>0.34342860681975401</v>
      </c>
      <c r="L49" s="9" t="str" cm="1">
        <f t="array" aca="1" ref="L49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50" spans="1:12" x14ac:dyDescent="0.2">
      <c r="A50" s="2">
        <f t="shared" si="2"/>
        <v>37</v>
      </c>
      <c r="B50" s="19">
        <f t="shared" ca="1" si="3"/>
        <v>2137396942.9776735</v>
      </c>
      <c r="C50" s="14">
        <f t="shared" ca="1" si="1"/>
        <v>-2.1559276431398489E-3</v>
      </c>
      <c r="D50" s="14">
        <f t="shared" ca="1" si="0"/>
        <v>8.2375064332756806E-2</v>
      </c>
      <c r="E50" s="19">
        <f t="shared" ca="1" si="4"/>
        <v>1254414.8678744063</v>
      </c>
      <c r="F50" s="19">
        <f t="shared" ca="1" si="5"/>
        <v>1357747.3733155271</v>
      </c>
      <c r="G50" s="3" t="b" cm="1">
        <f t="array" aca="1" ref="G50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50" s="2" t="str" cm="1">
        <f t="array" aca="1" ref="H50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50" s="19" cm="1">
        <f t="array" aca="1" ref="I50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1437774.1284229162</v>
      </c>
      <c r="J50" s="19">
        <f t="shared" ca="1" si="6"/>
        <v>2131351095.6955223</v>
      </c>
      <c r="K50" s="22">
        <f t="shared" ca="1" si="7"/>
        <v>-2.8286029424785114E-3</v>
      </c>
      <c r="L50" s="9" t="str" cm="1">
        <f t="array" aca="1" ref="L50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51" spans="1:12" x14ac:dyDescent="0.2">
      <c r="A51" s="2">
        <f t="shared" si="2"/>
        <v>38</v>
      </c>
      <c r="B51" s="19">
        <f t="shared" ca="1" si="3"/>
        <v>2131351095.6955223</v>
      </c>
      <c r="C51" s="14">
        <f t="shared" ca="1" si="1"/>
        <v>0.23817900160854999</v>
      </c>
      <c r="D51" s="14">
        <f t="shared" ca="1" si="0"/>
        <v>9.1808790347132477E-2</v>
      </c>
      <c r="E51" s="19">
        <f t="shared" ca="1" si="4"/>
        <v>1437774.1284229162</v>
      </c>
      <c r="F51" s="19">
        <f t="shared" ca="1" si="5"/>
        <v>1569774.4319458269</v>
      </c>
      <c r="G51" s="3" t="b" cm="1">
        <f t="array" aca="1" ref="G51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0</v>
      </c>
      <c r="H51" s="2" t="str" cm="1">
        <f t="array" aca="1" ref="H51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DecreaseRequired</v>
      </c>
      <c r="I51" s="19" cm="1">
        <f t="array" aca="1" ref="I51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1293996.7155806245</v>
      </c>
      <c r="J51" s="19">
        <f t="shared" ca="1" si="6"/>
        <v>2637700175.0299902</v>
      </c>
      <c r="K51" s="22">
        <f t="shared" ca="1" si="7"/>
        <v>0.23757187652334275</v>
      </c>
      <c r="L51" s="9" t="str" cm="1">
        <f t="array" aca="1" ref="L51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Below lower threshold; applied cut 10.00%</v>
      </c>
    </row>
    <row r="52" spans="1:12" x14ac:dyDescent="0.2">
      <c r="A52" s="2">
        <f t="shared" si="2"/>
        <v>39</v>
      </c>
      <c r="B52" s="19">
        <f t="shared" ca="1" si="3"/>
        <v>2637700175.0299902</v>
      </c>
      <c r="C52" s="14">
        <f t="shared" ca="1" si="1"/>
        <v>0.11275249266813235</v>
      </c>
      <c r="D52" s="14">
        <f t="shared" ca="1" si="0"/>
        <v>7.6449400118086999E-2</v>
      </c>
      <c r="E52" s="19">
        <f t="shared" ca="1" si="4"/>
        <v>1293996.7155806245</v>
      </c>
      <c r="F52" s="19">
        <f t="shared" ca="1" si="5"/>
        <v>1392921.9882415382</v>
      </c>
      <c r="G52" s="3" t="b" cm="1">
        <f t="array" aca="1" ref="G52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52" s="2" t="str" cm="1">
        <f t="array" aca="1" ref="H52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Inflation+Increase</v>
      </c>
      <c r="I52" s="19" cm="1">
        <f t="array" aca="1" ref="I52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1483436.8381888065</v>
      </c>
      <c r="J52" s="19">
        <f t="shared" ca="1" si="6"/>
        <v>2933624007.8376017</v>
      </c>
      <c r="K52" s="22">
        <f t="shared" ca="1" si="7"/>
        <v>0.11219009484436451</v>
      </c>
      <c r="L52" s="9" t="str" cm="1">
        <f t="array" aca="1" ref="L52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Above upper threshold; applied inflation then 5.00%</v>
      </c>
    </row>
    <row r="53" spans="1:12" x14ac:dyDescent="0.2">
      <c r="A53" s="2">
        <f t="shared" si="2"/>
        <v>40</v>
      </c>
      <c r="B53" s="19">
        <f t="shared" ca="1" si="3"/>
        <v>2933624007.8376017</v>
      </c>
      <c r="C53" s="14">
        <f t="shared" ca="1" si="1"/>
        <v>3.7393938080173744E-2</v>
      </c>
      <c r="D53" s="14">
        <f t="shared" ca="1" si="0"/>
        <v>8.9973644750522067E-2</v>
      </c>
      <c r="E53" s="19">
        <f t="shared" ca="1" si="4"/>
        <v>1483436.8381888065</v>
      </c>
      <c r="F53" s="19">
        <f t="shared" ca="1" si="5"/>
        <v>1616907.0572778441</v>
      </c>
      <c r="G53" s="3" t="b" cm="1">
        <f t="array" aca="1" ref="G53" ca="1">_xlfn.LET(_xlpm.startPrev,INDEX($B:$B,ROW()-1),_xlpm.startCur,INDEX($B:$B,ROW()),_xlpm.inflPrev,INDEX($D:$D,ROW()-1),_xlpm.decThr,IF(ABS($B$6)&gt;1,$B$6/100,$B$6),_xlpm.base,_xlpm.startPrev*(1+_xlpm.inflPrev),_xlpm.lower,_xlpm.base*(1-_xlpm.decThr),IF(_xlpm.startCur&gt;=_xlpm.lower,TRUE,FALSE))</f>
        <v>1</v>
      </c>
      <c r="H53" s="2" t="str" cm="1">
        <f t="array" aca="1" ref="H53" ca="1">_xlfn.LET(_xlpm.startPrev,INDEX($B:$B,ROW()-1),_xlpm.startCur,INDEX($B:$B,ROW()),_xlpm.inflPrev,INDEX($D:$D,ROW()-1),_xlpm.incThr,IF(ABS($B$5)&gt;1,$B$5/100,$B$5),_xlpm.decThr,IF(ABS($B$6)&gt;1,$B$6/100,$B$6),_xlpm.base,_xlpm.startPrev*(1+_xlpm.inflPrev),_xlpm.upper,_xlpm.base*(1+_xlpm.incThr),_xlpm.lower,_xlpm.base*(1-_xlpm.decThr),IF(_xlpm.startCur&gt;_xlpm.upper,"Inflation+Increase",IF(_xlpm.startCur&lt;_xlpm.lower,"DecreaseRequired","InflationOnly")))</f>
        <v>InflationOnly</v>
      </c>
      <c r="I53" s="19" cm="1">
        <f t="array" aca="1" ref="I53" ca="1">_xlfn.LET(_xlpm.prior,INDEX($I:$I,ROW()-1),_xlpm.inflPrev,INDEX($D:$D,ROW()-1),_xlpm.inc,IF(ABS($B$7)&gt;1,$B$7/100,$B$7),_xlpm.dec,IF(ABS($B$8)&gt;1,$B$8/100,$B$8),_xlpm.startPrev,INDEX($B:$B,ROW()-1),_xlpm.startCur,INDEX($B:$B,ROW()),_xlpm.incThr,IF(ABS($B$5)&gt;1,$B$5/100,$B$5),_xlpm.decThr,IF(ABS($B$6)&gt;1,$B$6/100,$B$6),_xlpm.base,_xlpm.startPrev*(1+_xlpm.inflPrev),_xlpm.upper,_xlpm.base*(1+_xlpm.incThr),_xlpm.lower,_xlpm.base*(1-_xlpm.decThr),_xlpm.propInfl,_xlpm.prior*(1+_xlpm.inflPrev),IF(_xlpm.startCur&gt;_xlpm.upper,_xlpm.propInfl*(1+_xlpm.inc),IF(_xlpm.startCur&lt;_xlpm.lower,_xlpm.prior*(1-_xlpm.dec),_xlpm.propInfl)))</f>
        <v>1596844.6945814127</v>
      </c>
      <c r="J53" s="19">
        <f t="shared" ca="1" si="6"/>
        <v>3041726917.6426105</v>
      </c>
      <c r="K53" s="22">
        <f t="shared" ca="1" si="7"/>
        <v>3.6849613146127898E-2</v>
      </c>
      <c r="L53" s="9" t="str" cm="1">
        <f t="array" aca="1" ref="L53" ca="1">_xlfn.LET(_xlpm.startPrev,INDEX($B:$B,ROW()-1),_xlpm.startCur,INDEX($B:$B,ROW()),_xlpm.inflPrev,INDEX($D:$D,ROW()-1),_xlpm.inc,IF(ABS($B$7)&gt;1,$B$7/100,$B$7),_xlpm.dec,IF(ABS($B$8)&gt;1,$B$8/100,$B$8),_xlpm.incThr,IF(ABS($B$5)&gt;1,$B$5/100,$B$5),_xlpm.decThr,IF(ABS($B$6)&gt;1,$B$6/100,$B$6),_xlpm.base,_xlpm.startPrev*(1+_xlpm.inflPrev),_xlpm.upper,_xlpm.base*(1+_xlpm.incThr),_xlpm.lower,_xlpm.base*(1-_xlpm.decThr),IF(_xlpm.startCur&gt;_xlpm.upper,"Above upper threshold; applied inflation then " &amp; TEXT(_xlpm.inc,"0.00%"),IF(_xlpm.startCur&lt;_xlpm.lower,"Below lower threshold; applied cut " &amp; TEXT(_xlpm.dec,"0.00%"),"Within +/- threshold; applied inflation only")))</f>
        <v>Within +/- threshold; applied inflation only</v>
      </c>
    </row>
    <row r="54" spans="1:12" x14ac:dyDescent="0.2">
      <c r="A54" s="15"/>
      <c r="B54" s="15"/>
      <c r="C54" s="16"/>
      <c r="D54" s="16"/>
      <c r="E54" s="15"/>
      <c r="F54" s="15"/>
      <c r="G54" s="15"/>
      <c r="H54" s="17"/>
      <c r="I54" s="16"/>
      <c r="J54" s="16"/>
      <c r="K54" s="16"/>
      <c r="L54" s="18"/>
    </row>
    <row r="56" spans="1:12" s="1" customFormat="1" ht="21" customHeight="1" x14ac:dyDescent="0.2">
      <c r="C56" s="5">
        <f ca="1">AVERAGE(C14:C53)</f>
        <v>9.0194756557661099E-2</v>
      </c>
      <c r="D56" s="6">
        <f ca="1">AVERAGE(D14:D53)</f>
        <v>8.4971367956721028E-2</v>
      </c>
      <c r="H56" s="2"/>
      <c r="I56" s="2" t="s">
        <v>24</v>
      </c>
      <c r="J56" s="20">
        <f ca="1">PV(7.5%,40,0,-J53)</f>
        <v>168570529.50434756</v>
      </c>
      <c r="K56" s="23"/>
      <c r="L56" s="2"/>
    </row>
  </sheetData>
  <mergeCells count="1">
    <mergeCell ref="A1:L1"/>
  </mergeCells>
  <conditionalFormatting sqref="C13:C54">
    <cfRule type="cellIs" dxfId="10" priority="2" operator="lessThan">
      <formula>0</formula>
    </cfRule>
  </conditionalFormatting>
  <conditionalFormatting sqref="G14:G53">
    <cfRule type="containsText" dxfId="9" priority="11" operator="containsText" text="FALSE">
      <formula>NOT(ISERROR(SEARCH("FALSE",G14)))</formula>
    </cfRule>
  </conditionalFormatting>
  <conditionalFormatting sqref="H14:H53">
    <cfRule type="containsText" dxfId="8" priority="12" operator="containsText" text="Decrease">
      <formula>NOT(ISERROR(SEARCH("Decrease",H14)))</formula>
    </cfRule>
  </conditionalFormatting>
  <conditionalFormatting sqref="I14:I53">
    <cfRule type="expression" dxfId="7" priority="14">
      <formula>AND($I14&lt;&gt;"",$I14&lt;$I13)</formula>
    </cfRule>
  </conditionalFormatting>
  <conditionalFormatting sqref="J13:J54">
    <cfRule type="cellIs" dxfId="6" priority="3" operator="lessThan">
      <formula>0</formula>
    </cfRule>
  </conditionalFormatting>
  <conditionalFormatting sqref="J56">
    <cfRule type="cellIs" dxfId="5" priority="4" operator="greaterThan">
      <formula>0</formula>
    </cfRule>
    <cfRule type="cellIs" dxfId="4" priority="5" operator="lessThan">
      <formula>0</formula>
    </cfRule>
  </conditionalFormatting>
  <conditionalFormatting sqref="K13:K53">
    <cfRule type="cellIs" dxfId="3" priority="1" operator="lessThan">
      <formula>0</formula>
    </cfRule>
  </conditionalFormatting>
  <conditionalFormatting sqref="K14:K53">
    <cfRule type="expression" dxfId="2" priority="6">
      <formula>K14 &lt; -0.05</formula>
    </cfRule>
  </conditionalFormatting>
  <conditionalFormatting sqref="L14:L53">
    <cfRule type="containsText" dxfId="1" priority="10" operator="containsText" text="Below">
      <formula>NOT(ISERROR(SEARCH("Below",L14)))</formula>
    </cfRule>
    <cfRule type="beginsWith" dxfId="0" priority="13" operator="beginsWith" text="Decrease">
      <formula>LEFT(L14,LEN("Decrease"))="Decrease"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Guyton Klinger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SHRIPATHI ACHARYA</dc:creator>
  <cp:lastModifiedBy>GIRISH SHRIPATHI ACHARYA</cp:lastModifiedBy>
  <dcterms:created xsi:type="dcterms:W3CDTF">2025-10-18T01:58:05Z</dcterms:created>
  <dcterms:modified xsi:type="dcterms:W3CDTF">2026-01-04T08:17:51Z</dcterms:modified>
</cp:coreProperties>
</file>